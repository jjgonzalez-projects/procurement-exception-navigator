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d8c558d61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0297d0f87f8404a"/>
    <x:sheet xmlns:r="http://schemas.openxmlformats.org/officeDocument/2006/relationships" name="PurchaseOrders" sheetId="2" r:id="R3d699e1817ff4495"/>
    <x:sheet xmlns:r="http://schemas.openxmlformats.org/officeDocument/2006/relationships" name="Suppliers" sheetId="3" r:id="Rb1940b19626741c2"/>
    <x:sheet xmlns:r="http://schemas.openxmlformats.org/officeDocument/2006/relationships" name="Receipts" sheetId="4" r:id="Reaa0f180014a4f1e"/>
    <x:sheet xmlns:r="http://schemas.openxmlformats.org/officeDocument/2006/relationships" name="Invoices" sheetId="5" r:id="R4b3f943300ca4c3b"/>
    <x:sheet xmlns:r="http://schemas.openxmlformats.org/officeDocument/2006/relationships" name="ModelGuide" sheetId="6" r:id="Rbbba1af5feb1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&quot;$&quot;#,##0.00"/>
    <x:numFmt numFmtId="202" formatCode="&quot;$&quot;#,##0"/>
    <x:numFmt numFmtId="203" formatCode="0.0"/>
    <x:numFmt numFmtId="204" formatCode="0.0%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b/>
      <x:sz val="16"/>
      <x:color rgb="FF16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c273be6b54ce7" /><Relationship Type="http://schemas.openxmlformats.org/officeDocument/2006/relationships/theme" Target="/xl/theme/theme1.xml" Id="R3afadf7aa16c4916" /><Relationship Type="http://schemas.openxmlformats.org/officeDocument/2006/relationships/sharedStrings" Target="/xl/sharedStrings.xml" Id="Ra7836619b4174804" /><Relationship Type="http://schemas.openxmlformats.org/officeDocument/2006/relationships/worksheet" Target="/xl/worksheets/sheet1.xml" Id="R00297d0f87f8404a" /><Relationship Type="http://schemas.openxmlformats.org/officeDocument/2006/relationships/worksheet" Target="/xl/worksheets/sheet2.xml" Id="R3d699e1817ff4495" /><Relationship Type="http://schemas.openxmlformats.org/officeDocument/2006/relationships/worksheet" Target="/xl/worksheets/sheet3.xml" Id="Rb1940b19626741c2" /><Relationship Type="http://schemas.openxmlformats.org/officeDocument/2006/relationships/worksheet" Target="/xl/worksheets/sheet4.xml" Id="Reaa0f180014a4f1e" /><Relationship Type="http://schemas.openxmlformats.org/officeDocument/2006/relationships/worksheet" Target="/xl/worksheets/sheet5.xml" Id="R4b3f943300ca4c3b" /><Relationship Type="http://schemas.openxmlformats.org/officeDocument/2006/relationships/worksheet" Target="/xl/worksheets/sheet6.xml" Id="Rbbba1af5feb14806" /></Relationships>
</file>

<file path=xl/tables/table1.xml><?xml version="1.0" encoding="utf-8"?>
<x:table xmlns:x="http://schemas.openxmlformats.org/spreadsheetml/2006/main" id="6" name="PurchaseOrdersData" displayName="PurchaseOrdersData" ref="A1:N501" headerRowCount="1" totalsRowCount="0" totalsRowShown="0">
  <x:tableColumns count="14">
    <x:tableColumn id="1" name="PO_ID"/>
    <x:tableColumn id="2" name="Supplier_ID"/>
    <x:tableColumn id="3" name="BuyingCountry"/>
    <x:tableColumn id="4" name="Category"/>
    <x:tableColumn id="5" name="Buyer"/>
    <x:tableColumn id="6" name="RequestDate"/>
    <x:tableColumn id="7" name="ApprovalDate"/>
    <x:tableColumn id="8" name="PODate"/>
    <x:tableColumn id="9" name="PromisedDate"/>
    <x:tableColumn id="10" name="OrderedQty"/>
    <x:tableColumn id="11" name="UnitPriceUSD"/>
    <x:tableColumn id="12" name="OrderValueUSD"/>
    <x:tableColumn id="13" name="ApprovalDays"/>
    <x:tableColumn id="14" name="IssueDay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Data" displayName="SuppliersData" ref="A1:E15" headerRowCount="1" totalsRowCount="0" totalsRowShown="0">
  <x:tableColumns count="5">
    <x:tableColumn id="1" name="Supplier_ID"/>
    <x:tableColumn id="2" name="SupplierName"/>
    <x:tableColumn id="3" name="SupplierCountry"/>
    <x:tableColumn id="4" name="Category"/>
    <x:tableColumn id="5" name="PaymentTermsDay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eiptsData" displayName="ReceiptsData" ref="A1:D491" headerRowCount="1" totalsRowCount="0" totalsRowShown="0">
  <x:tableColumns count="4">
    <x:tableColumn id="1" name="Receipt_ID"/>
    <x:tableColumn id="2" name="PO_ID"/>
    <x:tableColumn id="3" name="ReceiptDate"/>
    <x:tableColumn id="4" name="ReceivedQ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InvoicesData" displayName="InvoicesData" ref="A1:J484" headerRowCount="1" totalsRowCount="0" totalsRowShown="0">
  <x:tableColumns count="10">
    <x:tableColumn id="1" name="Invoice_ID"/>
    <x:tableColumn id="2" name="PO_ID"/>
    <x:tableColumn id="3" name="InvoiceDate"/>
    <x:tableColumn id="4" name="DueDate"/>
    <x:tableColumn id="5" name="InvoiceQty"/>
    <x:tableColumn id="6" name="InvoiceUnitPriceUSD"/>
    <x:tableColumn id="7" name="ExceptionType"/>
    <x:tableColumn id="8" name="ClearanceDate"/>
    <x:tableColumn id="9" name="PaymentDate"/>
    <x:tableColumn id="10" name="InvoiceValueUS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elGuideData" displayName="ModelGuideData" ref="A1:B21" headerRowCount="1" totalsRowCount="0" totalsRowShown="0">
  <x:tableColumns count="2">
    <x:tableColumn id="1" name="Topic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ed1e59f76442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52ee86a130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473ed2f00f4a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95127e233346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02f5d6170f44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4" hidden="0" customWidth="1"/>
  </x:cols>
  <x:sheetData>
    <x:row r="2">
      <x:c r="A2" s="11" t="str">
        <x:v>P2P portfolio: starter dataset</x:v>
      </x:c>
    </x:row>
    <x:row r="4" ht="25" customHeight="1">
      <x:c r="A4" s="8" t="str">
        <x:v>Metric</x:v>
      </x:c>
      <x:c r="B4" s="8" t="str">
        <x:v>Value</x:v>
      </x:c>
    </x:row>
    <x:row r="5" ht="25" customHeight="1">
      <x:c r="A5" t="str">
        <x:v>Snapshot date</x:v>
      </x:c>
      <x:c r="B5" s="12" t="n">
        <x:v>46295</x:v>
      </x:c>
    </x:row>
    <x:row r="6" ht="25" customHeight="1">
      <x:c r="A6" t="str">
        <x:v>Purchase orders</x:v>
      </x:c>
      <x:c r="B6" t="n">
        <x:f>COUNTA(PurchaseOrders!A2:A501)</x:f>
        <x:v>500</x:v>
      </x:c>
    </x:row>
    <x:row r="7" ht="25" customHeight="1">
      <x:c r="A7" t="str">
        <x:v>Ordered value (USD)</x:v>
      </x:c>
      <x:c r="B7" s="13" t="n">
        <x:f>SUM(PurchaseOrders!L2:L501)</x:f>
        <x:v>17226246.94999999</x:v>
      </x:c>
    </x:row>
    <x:row r="8" ht="25" customHeight="1">
      <x:c r="A8" t="str">
        <x:v>Average request-to-PO days</x:v>
      </x:c>
      <x:c r="B8" s="14" t="n">
        <x:f>AVERAGE(PurchaseOrders!N2:N501)</x:f>
        <x:v>4.174</x:v>
      </x:c>
    </x:row>
    <x:row r="9" ht="25" customHeight="1">
      <x:c r="A9" t="str">
        <x:v>Invoices</x:v>
      </x:c>
      <x:c r="B9" t="n">
        <x:f>COUNTA(Invoices!A2:A484)</x:f>
        <x:v>483</x:v>
      </x:c>
    </x:row>
    <x:row r="10" ht="25" customHeight="1">
      <x:c r="A10" t="str">
        <x:v>Invoices with an exception</x:v>
      </x:c>
      <x:c r="B10" t="n">
        <x:f>COUNTIF(Invoices!G2:G484,"&lt;&gt;None")</x:f>
        <x:v>98</x:v>
      </x:c>
    </x:row>
    <x:row r="11" ht="25" customHeight="1">
      <x:c r="A11" t="str">
        <x:v>Historical exception rate</x:v>
      </x:c>
      <x:c r="B11" s="15" t="n">
        <x:f>B10/B9</x:f>
        <x:v>0.2028985507246377</x:v>
      </x:c>
    </x:row>
    <x:row r="12" ht="25" customHeight="1">
      <x:c r="A12" t="str">
        <x:v>Unpaid invoice value (USD)</x:v>
      </x:c>
      <x:c r="B12" s="13" t="n">
        <x:f>SUMIF(Invoices!I2:I484,"",Invoices!J2:J484)</x:f>
        <x:v>2925640.4099999997</x:v>
      </x:c>
    </x:row>
    <x:row r="15">
      <x:c r="A15" s="1" t="str">
        <x:v>Synthetic data only. Fictional company; no Nestle data.</x:v>
      </x:c>
    </x:row>
    <x:row r="16">
      <x:c r="A16" s="1"/>
    </x:row>
    <x:row r="17">
      <x:c r="A17" s="1" t="str">
        <x:v>Data period: Jan-Sep 2026. All values in USD; no taxes or FX.</x:v>
      </x:c>
    </x:row>
    <x:row r="18">
      <x:c r="A18" s="1"/>
    </x:row>
    <x:row r="19">
      <x:c r="A19" s="1" t="str">
        <x:v>Import named tables into Power BI. See ModelGuide for relationships.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4" customHeight="1">
      <x:c r="A1" s="4" t="str">
        <x:v>PO_ID</x:v>
      </x:c>
      <x:c r="B1" s="4" t="str">
        <x:v>Supplier_ID</x:v>
      </x:c>
      <x:c r="C1" s="4" t="str">
        <x:v>BuyingCountry</x:v>
      </x:c>
      <x:c r="D1" s="4" t="str">
        <x:v>Category</x:v>
      </x:c>
      <x:c r="E1" s="4" t="str">
        <x:v>Buyer</x:v>
      </x:c>
      <x:c r="F1" s="4" t="str">
        <x:v>RequestDate</x:v>
      </x:c>
      <x:c r="G1" s="4" t="str">
        <x:v>ApprovalDate</x:v>
      </x:c>
      <x:c r="H1" s="4" t="str">
        <x:v>PODate</x:v>
      </x:c>
      <x:c r="I1" s="4" t="str">
        <x:v>PromisedDate</x:v>
      </x:c>
      <x:c r="J1" s="4" t="str">
        <x:v>OrderedQty</x:v>
      </x:c>
      <x:c r="K1" s="4" t="str">
        <x:v>UnitPriceUSD</x:v>
      </x:c>
      <x:c r="L1" s="9" t="str">
        <x:v>OrderValueUSD</x:v>
      </x:c>
      <x:c r="M1" s="9" t="str">
        <x:v>ApprovalDays</x:v>
      </x:c>
      <x:c r="N1" s="9" t="str">
        <x:v>IssueDays</x:v>
      </x:c>
    </x:row>
    <x:row r="2">
      <x:c r="A2" s="1" t="str">
        <x:v>PO0001</x:v>
      </x:c>
      <x:c r="B2" s="1" t="str">
        <x:v>SUP07</x:v>
      </x:c>
      <x:c r="C2" s="1" t="str">
        <x:v>Panama</x:v>
      </x:c>
      <x:c r="D2" s="1" t="str">
        <x:v>Packaging</x:v>
      </x:c>
      <x:c r="E2" s="1" t="str">
        <x:v>Buyer 1</x:v>
      </x:c>
      <x:c r="F2" s="5" t="n">
        <x:v>46206</x:v>
      </x:c>
      <x:c r="G2" s="5" t="n">
        <x:v>46209</x:v>
      </x:c>
      <x:c r="H2" s="5" t="n">
        <x:v>46210</x:v>
      </x:c>
      <x:c r="I2" s="5" t="n">
        <x:v>46227</x:v>
      </x:c>
      <x:c r="J2" s="1" t="n">
        <x:v>1268</x:v>
      </x:c>
      <x:c r="K2" s="6" t="n">
        <x:v>20.44</x:v>
      </x:c>
      <x:c r="L2" s="10" t="n">
        <x:f>J2*K2</x:f>
        <x:v>25917.920000000002</x:v>
      </x:c>
      <x:c r="M2" t="n">
        <x:f>G2-F2</x:f>
        <x:v>3</x:v>
      </x:c>
      <x:c r="N2" t="n">
        <x:f>H2-F2</x:f>
        <x:v>4</x:v>
      </x:c>
    </x:row>
    <x:row r="3">
      <x:c r="A3" s="1" t="str">
        <x:v>PO0002</x:v>
      </x:c>
      <x:c r="B3" s="1" t="str">
        <x:v>SUP01</x:v>
      </x:c>
      <x:c r="C3" s="1" t="str">
        <x:v>Mexico</x:v>
      </x:c>
      <x:c r="D3" s="1" t="str">
        <x:v>Packaging</x:v>
      </x:c>
      <x:c r="E3" s="1" t="str">
        <x:v>Buyer 2</x:v>
      </x:c>
      <x:c r="F3" s="5" t="n">
        <x:v>46150</x:v>
      </x:c>
      <x:c r="G3" s="5" t="n">
        <x:v>46151</x:v>
      </x:c>
      <x:c r="H3" s="5" t="n">
        <x:v>46151</x:v>
      </x:c>
      <x:c r="I3" s="5" t="n">
        <x:v>46176</x:v>
      </x:c>
      <x:c r="J3" s="1" t="n">
        <x:v>4510</x:v>
      </x:c>
      <x:c r="K3" s="6" t="n">
        <x:v>15.69</x:v>
      </x:c>
      <x:c r="L3" s="10" t="n">
        <x:f>J3*K3</x:f>
        <x:v>70761.9</x:v>
      </x:c>
      <x:c r="M3" t="n">
        <x:f>G3-F3</x:f>
        <x:v>1</x:v>
      </x:c>
      <x:c r="N3" t="n">
        <x:f>H3-F3</x:f>
        <x:v>1</x:v>
      </x:c>
    </x:row>
    <x:row r="4">
      <x:c r="A4" s="1" t="str">
        <x:v>PO0003</x:v>
      </x:c>
      <x:c r="B4" s="1" t="str">
        <x:v>SUP12</x:v>
      </x:c>
      <x:c r="C4" s="1" t="str">
        <x:v>Colombia</x:v>
      </x:c>
      <x:c r="D4" s="1" t="str">
        <x:v>Maintenance services</x:v>
      </x:c>
      <x:c r="E4" s="1" t="str">
        <x:v>Buyer 3</x:v>
      </x:c>
      <x:c r="F4" s="5" t="n">
        <x:v>46254</x:v>
      </x:c>
      <x:c r="G4" s="5" t="n">
        <x:v>46256</x:v>
      </x:c>
      <x:c r="H4" s="5" t="n">
        <x:v>46257</x:v>
      </x:c>
      <x:c r="I4" s="5" t="n">
        <x:v>46278</x:v>
      </x:c>
      <x:c r="J4" s="1" t="n">
        <x:v>3426</x:v>
      </x:c>
      <x:c r="K4" s="6" t="n">
        <x:v>4.4</x:v>
      </x:c>
      <x:c r="L4" s="10" t="n">
        <x:f>J4*K4</x:f>
        <x:v>15074.400000000001</x:v>
      </x:c>
      <x:c r="M4" t="n">
        <x:f>G4-F4</x:f>
        <x:v>2</x:v>
      </x:c>
      <x:c r="N4" t="n">
        <x:f>H4-F4</x:f>
        <x:v>3</x:v>
      </x:c>
    </x:row>
    <x:row r="5">
      <x:c r="A5" s="1" t="str">
        <x:v>PO0004</x:v>
      </x:c>
      <x:c r="B5" s="1" t="str">
        <x:v>SUP13</x:v>
      </x:c>
      <x:c r="C5" s="1" t="str">
        <x:v>Costa Rica</x:v>
      </x:c>
      <x:c r="D5" s="1" t="str">
        <x:v>Packaging</x:v>
      </x:c>
      <x:c r="E5" s="1" t="str">
        <x:v>Buyer 4</x:v>
      </x:c>
      <x:c r="F5" s="5" t="n">
        <x:v>46259</x:v>
      </x:c>
      <x:c r="G5" s="5" t="n">
        <x:v>46263</x:v>
      </x:c>
      <x:c r="H5" s="5" t="n">
        <x:v>46265</x:v>
      </x:c>
      <x:c r="I5" s="5" t="n">
        <x:v>46285</x:v>
      </x:c>
      <x:c r="J5" s="1" t="n">
        <x:v>4888</x:v>
      </x:c>
      <x:c r="K5" s="6" t="n">
        <x:v>3.57</x:v>
      </x:c>
      <x:c r="L5" s="10" t="n">
        <x:f>J5*K5</x:f>
        <x:v>17450.16</x:v>
      </x:c>
      <x:c r="M5" t="n">
        <x:f>G5-F5</x:f>
        <x:v>4</x:v>
      </x:c>
      <x:c r="N5" t="n">
        <x:f>H5-F5</x:f>
        <x:v>6</x:v>
      </x:c>
    </x:row>
    <x:row r="6">
      <x:c r="A6" s="1" t="str">
        <x:v>PO0005</x:v>
      </x:c>
      <x:c r="B6" s="1" t="str">
        <x:v>SUP07</x:v>
      </x:c>
      <x:c r="C6" s="1" t="str">
        <x:v>Guatemala</x:v>
      </x:c>
      <x:c r="D6" s="1" t="str">
        <x:v>Packaging</x:v>
      </x:c>
      <x:c r="E6" s="1" t="str">
        <x:v>Buyer 1</x:v>
      </x:c>
      <x:c r="F6" s="5" t="n">
        <x:v>46184</x:v>
      </x:c>
      <x:c r="G6" s="5" t="n">
        <x:v>46186</x:v>
      </x:c>
      <x:c r="H6" s="5" t="n">
        <x:v>46187</x:v>
      </x:c>
      <x:c r="I6" s="5" t="n">
        <x:v>46199</x:v>
      </x:c>
      <x:c r="J6" s="1" t="n">
        <x:v>881</x:v>
      </x:c>
      <x:c r="K6" s="6" t="n">
        <x:v>17.03</x:v>
      </x:c>
      <x:c r="L6" s="10" t="n">
        <x:f>J6*K6</x:f>
        <x:v>15003.43</x:v>
      </x:c>
      <x:c r="M6" t="n">
        <x:f>G6-F6</x:f>
        <x:v>2</x:v>
      </x:c>
      <x:c r="N6" t="n">
        <x:f>H6-F6</x:f>
        <x:v>3</x:v>
      </x:c>
    </x:row>
    <x:row r="7">
      <x:c r="A7" s="1" t="str">
        <x:v>PO0006</x:v>
      </x:c>
      <x:c r="B7" s="1" t="str">
        <x:v>SUP07</x:v>
      </x:c>
      <x:c r="C7" s="1" t="str">
        <x:v>Peru</x:v>
      </x:c>
      <x:c r="D7" s="1" t="str">
        <x:v>Packaging</x:v>
      </x:c>
      <x:c r="E7" s="1" t="str">
        <x:v>Buyer 2</x:v>
      </x:c>
      <x:c r="F7" s="5" t="n">
        <x:v>46144</x:v>
      </x:c>
      <x:c r="G7" s="5" t="n">
        <x:v>46145</x:v>
      </x:c>
      <x:c r="H7" s="5" t="n">
        <x:v>46147</x:v>
      </x:c>
      <x:c r="I7" s="5" t="n">
        <x:v>46156</x:v>
      </x:c>
      <x:c r="J7" s="1" t="n">
        <x:v>4874</x:v>
      </x:c>
      <x:c r="K7" s="6" t="n">
        <x:v>9.17</x:v>
      </x:c>
      <x:c r="L7" s="10" t="n">
        <x:f>J7*K7</x:f>
        <x:v>44694.58</x:v>
      </x:c>
      <x:c r="M7" t="n">
        <x:f>G7-F7</x:f>
        <x:v>1</x:v>
      </x:c>
      <x:c r="N7" t="n">
        <x:f>H7-F7</x:f>
        <x:v>3</x:v>
      </x:c>
    </x:row>
    <x:row r="8">
      <x:c r="A8" s="1" t="str">
        <x:v>PO0007</x:v>
      </x:c>
      <x:c r="B8" s="1" t="str">
        <x:v>SUP09</x:v>
      </x:c>
      <x:c r="C8" s="1" t="str">
        <x:v>Chile</x:v>
      </x:c>
      <x:c r="D8" s="1" t="str">
        <x:v>Maintenance services</x:v>
      </x:c>
      <x:c r="E8" s="1" t="str">
        <x:v>Buyer 3</x:v>
      </x:c>
      <x:c r="F8" s="5" t="n">
        <x:v>46264</x:v>
      </x:c>
      <x:c r="G8" s="5" t="n">
        <x:v>46269</x:v>
      </x:c>
      <x:c r="H8" s="5" t="n">
        <x:v>46271</x:v>
      </x:c>
      <x:c r="I8" s="5" t="n">
        <x:v>46283</x:v>
      </x:c>
      <x:c r="J8" s="1" t="n">
        <x:v>587</x:v>
      </x:c>
      <x:c r="K8" s="6" t="n">
        <x:v>5.13</x:v>
      </x:c>
      <x:c r="L8" s="10" t="n">
        <x:f>J8*K8</x:f>
        <x:v>3011.31</x:v>
      </x:c>
      <x:c r="M8" t="n">
        <x:f>G8-F8</x:f>
        <x:v>5</x:v>
      </x:c>
      <x:c r="N8" t="n">
        <x:f>H8-F8</x:f>
        <x:v>7</x:v>
      </x:c>
    </x:row>
    <x:row r="9">
      <x:c r="A9" s="1" t="str">
        <x:v>PO0008</x:v>
      </x:c>
      <x:c r="B9" s="1" t="str">
        <x:v>SUP05</x:v>
      </x:c>
      <x:c r="C9" s="1" t="str">
        <x:v>Panama</x:v>
      </x:c>
      <x:c r="D9" s="1" t="str">
        <x:v>Ingredients</x:v>
      </x:c>
      <x:c r="E9" s="1" t="str">
        <x:v>Buyer 4</x:v>
      </x:c>
      <x:c r="F9" s="5" t="n">
        <x:v>46277</x:v>
      </x:c>
      <x:c r="G9" s="5" t="n">
        <x:v>46278</x:v>
      </x:c>
      <x:c r="H9" s="5" t="n">
        <x:v>46280</x:v>
      </x:c>
      <x:c r="I9" s="5" t="n">
        <x:v>46294</x:v>
      </x:c>
      <x:c r="J9" s="1" t="n">
        <x:v>2397</x:v>
      </x:c>
      <x:c r="K9" s="6" t="n">
        <x:v>18.31</x:v>
      </x:c>
      <x:c r="L9" s="10" t="n">
        <x:f>J9*K9</x:f>
        <x:v>43889.07</x:v>
      </x:c>
      <x:c r="M9" t="n">
        <x:f>G9-F9</x:f>
        <x:v>1</x:v>
      </x:c>
      <x:c r="N9" t="n">
        <x:f>H9-F9</x:f>
        <x:v>3</x:v>
      </x:c>
    </x:row>
    <x:row r="10">
      <x:c r="A10" s="1" t="str">
        <x:v>PO0009</x:v>
      </x:c>
      <x:c r="B10" s="1" t="str">
        <x:v>SUP08</x:v>
      </x:c>
      <x:c r="C10" s="1" t="str">
        <x:v>Mexico</x:v>
      </x:c>
      <x:c r="D10" s="1" t="str">
        <x:v>Ingredients</x:v>
      </x:c>
      <x:c r="E10" s="1" t="str">
        <x:v>Buyer 1</x:v>
      </x:c>
      <x:c r="F10" s="5" t="n">
        <x:v>46122</x:v>
      </x:c>
      <x:c r="G10" s="5" t="n">
        <x:v>46125</x:v>
      </x:c>
      <x:c r="H10" s="5" t="n">
        <x:v>46126</x:v>
      </x:c>
      <x:c r="I10" s="5" t="n">
        <x:v>46147</x:v>
      </x:c>
      <x:c r="J10" s="1" t="n">
        <x:v>4414</x:v>
      </x:c>
      <x:c r="K10" s="6" t="n">
        <x:v>16.16</x:v>
      </x:c>
      <x:c r="L10" s="10" t="n">
        <x:f>J10*K10</x:f>
        <x:v>71330.24</x:v>
      </x:c>
      <x:c r="M10" t="n">
        <x:f>G10-F10</x:f>
        <x:v>3</x:v>
      </x:c>
      <x:c r="N10" t="n">
        <x:f>H10-F10</x:f>
        <x:v>4</x:v>
      </x:c>
    </x:row>
    <x:row r="11">
      <x:c r="A11" s="1" t="str">
        <x:v>PO0010</x:v>
      </x:c>
      <x:c r="B11" s="1" t="str">
        <x:v>SUP06</x:v>
      </x:c>
      <x:c r="C11" s="1" t="str">
        <x:v>Colombia</x:v>
      </x:c>
      <x:c r="D11" s="1" t="str">
        <x:v>Maintenance services</x:v>
      </x:c>
      <x:c r="E11" s="1" t="str">
        <x:v>Buyer 2</x:v>
      </x:c>
      <x:c r="F11" s="5" t="n">
        <x:v>46052</x:v>
      </x:c>
      <x:c r="G11" s="5" t="n">
        <x:v>46053</x:v>
      </x:c>
      <x:c r="H11" s="5" t="n">
        <x:v>46055</x:v>
      </x:c>
      <x:c r="I11" s="5" t="n">
        <x:v>46070</x:v>
      </x:c>
      <x:c r="J11" s="1" t="n">
        <x:v>3016</x:v>
      </x:c>
      <x:c r="K11" s="6" t="n">
        <x:v>15.5</x:v>
      </x:c>
      <x:c r="L11" s="10" t="n">
        <x:f>J11*K11</x:f>
        <x:v>46748</x:v>
      </x:c>
      <x:c r="M11" t="n">
        <x:f>G11-F11</x:f>
        <x:v>1</x:v>
      </x:c>
      <x:c r="N11" t="n">
        <x:f>H11-F11</x:f>
        <x:v>3</x:v>
      </x:c>
    </x:row>
    <x:row r="12">
      <x:c r="A12" s="1" t="str">
        <x:v>PO0011</x:v>
      </x:c>
      <x:c r="B12" s="1" t="str">
        <x:v>SUP12</x:v>
      </x:c>
      <x:c r="C12" s="1" t="str">
        <x:v>Costa Rica</x:v>
      </x:c>
      <x:c r="D12" s="1" t="str">
        <x:v>Maintenance services</x:v>
      </x:c>
      <x:c r="E12" s="1" t="str">
        <x:v>Buyer 3</x:v>
      </x:c>
      <x:c r="F12" s="5" t="n">
        <x:v>46123</x:v>
      </x:c>
      <x:c r="G12" s="5" t="n">
        <x:v>46127</x:v>
      </x:c>
      <x:c r="H12" s="5" t="n">
        <x:v>46129</x:v>
      </x:c>
      <x:c r="I12" s="5" t="n">
        <x:v>46137</x:v>
      </x:c>
      <x:c r="J12" s="1" t="n">
        <x:v>2568</x:v>
      </x:c>
      <x:c r="K12" s="6" t="n">
        <x:v>1.35</x:v>
      </x:c>
      <x:c r="L12" s="10" t="n">
        <x:f>J12*K12</x:f>
        <x:v>3466.8</x:v>
      </x:c>
      <x:c r="M12" t="n">
        <x:f>G12-F12</x:f>
        <x:v>4</x:v>
      </x:c>
      <x:c r="N12" t="n">
        <x:f>H12-F12</x:f>
        <x:v>6</x:v>
      </x:c>
    </x:row>
    <x:row r="13">
      <x:c r="A13" s="1" t="str">
        <x:v>PO0012</x:v>
      </x:c>
      <x:c r="B13" s="1" t="str">
        <x:v>SUP09</x:v>
      </x:c>
      <x:c r="C13" s="1" t="str">
        <x:v>Guatemala</x:v>
      </x:c>
      <x:c r="D13" s="1" t="str">
        <x:v>Maintenance services</x:v>
      </x:c>
      <x:c r="E13" s="1" t="str">
        <x:v>Buyer 4</x:v>
      </x:c>
      <x:c r="F13" s="5" t="n">
        <x:v>46258</x:v>
      </x:c>
      <x:c r="G13" s="5" t="n">
        <x:v>46260</x:v>
      </x:c>
      <x:c r="H13" s="5" t="n">
        <x:v>46262</x:v>
      </x:c>
      <x:c r="I13" s="5" t="n">
        <x:v>46276</x:v>
      </x:c>
      <x:c r="J13" s="1" t="n">
        <x:v>4662</x:v>
      </x:c>
      <x:c r="K13" s="6" t="n">
        <x:v>14.09</x:v>
      </x:c>
      <x:c r="L13" s="10" t="n">
        <x:f>J13*K13</x:f>
        <x:v>65687.58</x:v>
      </x:c>
      <x:c r="M13" t="n">
        <x:f>G13-F13</x:f>
        <x:v>2</x:v>
      </x:c>
      <x:c r="N13" t="n">
        <x:f>H13-F13</x:f>
        <x:v>4</x:v>
      </x:c>
    </x:row>
    <x:row r="14">
      <x:c r="A14" s="1" t="str">
        <x:v>PO0013</x:v>
      </x:c>
      <x:c r="B14" s="1" t="str">
        <x:v>SUP04</x:v>
      </x:c>
      <x:c r="C14" s="1" t="str">
        <x:v>Peru</x:v>
      </x:c>
      <x:c r="D14" s="1" t="str">
        <x:v>Packaging</x:v>
      </x:c>
      <x:c r="E14" s="1" t="str">
        <x:v>Buyer 1</x:v>
      </x:c>
      <x:c r="F14" s="5" t="n">
        <x:v>46054</x:v>
      </x:c>
      <x:c r="G14" s="5" t="n">
        <x:v>46055</x:v>
      </x:c>
      <x:c r="H14" s="5" t="n">
        <x:v>46057</x:v>
      </x:c>
      <x:c r="I14" s="5" t="n">
        <x:v>46077</x:v>
      </x:c>
      <x:c r="J14" s="1" t="n">
        <x:v>4141</x:v>
      </x:c>
      <x:c r="K14" s="6" t="n">
        <x:v>9.17</x:v>
      </x:c>
      <x:c r="L14" s="10" t="n">
        <x:f>J14*K14</x:f>
        <x:v>37972.97</x:v>
      </x:c>
      <x:c r="M14" t="n">
        <x:f>G14-F14</x:f>
        <x:v>1</x:v>
      </x:c>
      <x:c r="N14" t="n">
        <x:f>H14-F14</x:f>
        <x:v>3</x:v>
      </x:c>
    </x:row>
    <x:row r="15">
      <x:c r="A15" s="1" t="str">
        <x:v>PO0014</x:v>
      </x:c>
      <x:c r="B15" s="1" t="str">
        <x:v>SUP01</x:v>
      </x:c>
      <x:c r="C15" s="1" t="str">
        <x:v>Chile</x:v>
      </x:c>
      <x:c r="D15" s="1" t="str">
        <x:v>Packaging</x:v>
      </x:c>
      <x:c r="E15" s="1" t="str">
        <x:v>Buyer 2</x:v>
      </x:c>
      <x:c r="F15" s="5" t="n">
        <x:v>46200</x:v>
      </x:c>
      <x:c r="G15" s="5" t="n">
        <x:v>46203</x:v>
      </x:c>
      <x:c r="H15" s="5" t="n">
        <x:v>46203</x:v>
      </x:c>
      <x:c r="I15" s="5" t="n">
        <x:v>46218</x:v>
      </x:c>
      <x:c r="J15" s="1" t="n">
        <x:v>3227</x:v>
      </x:c>
      <x:c r="K15" s="6" t="n">
        <x:v>16.14</x:v>
      </x:c>
      <x:c r="L15" s="10" t="n">
        <x:f>J15*K15</x:f>
        <x:v>52083.78</x:v>
      </x:c>
      <x:c r="M15" t="n">
        <x:f>G15-F15</x:f>
        <x:v>3</x:v>
      </x:c>
      <x:c r="N15" t="n">
        <x:f>H15-F15</x:f>
        <x:v>3</x:v>
      </x:c>
    </x:row>
    <x:row r="16">
      <x:c r="A16" s="1" t="str">
        <x:v>PO0015</x:v>
      </x:c>
      <x:c r="B16" s="1" t="str">
        <x:v>SUP10</x:v>
      </x:c>
      <x:c r="C16" s="1" t="str">
        <x:v>Panama</x:v>
      </x:c>
      <x:c r="D16" s="1" t="str">
        <x:v>Packaging</x:v>
      </x:c>
      <x:c r="E16" s="1" t="str">
        <x:v>Buyer 3</x:v>
      </x:c>
      <x:c r="F16" s="5" t="n">
        <x:v>46239</x:v>
      </x:c>
      <x:c r="G16" s="5" t="n">
        <x:v>46244</x:v>
      </x:c>
      <x:c r="H16" s="5" t="n">
        <x:v>46245</x:v>
      </x:c>
      <x:c r="I16" s="5" t="n">
        <x:v>46258</x:v>
      </x:c>
      <x:c r="J16" s="1" t="n">
        <x:v>2665</x:v>
      </x:c>
      <x:c r="K16" s="6" t="n">
        <x:v>23.79</x:v>
      </x:c>
      <x:c r="L16" s="10" t="n">
        <x:f>J16*K16</x:f>
        <x:v>63400.35</x:v>
      </x:c>
      <x:c r="M16" t="n">
        <x:f>G16-F16</x:f>
        <x:v>5</x:v>
      </x:c>
      <x:c r="N16" t="n">
        <x:f>H16-F16</x:f>
        <x:v>6</x:v>
      </x:c>
    </x:row>
    <x:row r="17">
      <x:c r="A17" s="1" t="str">
        <x:v>PO0016</x:v>
      </x:c>
      <x:c r="B17" s="1" t="str">
        <x:v>SUP10</x:v>
      </x:c>
      <x:c r="C17" s="1" t="str">
        <x:v>Mexico</x:v>
      </x:c>
      <x:c r="D17" s="1" t="str">
        <x:v>Packaging</x:v>
      </x:c>
      <x:c r="E17" s="1" t="str">
        <x:v>Buyer 4</x:v>
      </x:c>
      <x:c r="F17" s="5" t="n">
        <x:v>46151</x:v>
      </x:c>
      <x:c r="G17" s="5" t="n">
        <x:v>46154</x:v>
      </x:c>
      <x:c r="H17" s="5" t="n">
        <x:v>46156</x:v>
      </x:c>
      <x:c r="I17" s="5" t="n">
        <x:v>46167</x:v>
      </x:c>
      <x:c r="J17" s="1" t="n">
        <x:v>4986</x:v>
      </x:c>
      <x:c r="K17" s="6" t="n">
        <x:v>23.92</x:v>
      </x:c>
      <x:c r="L17" s="10" t="n">
        <x:f>J17*K17</x:f>
        <x:v>119265.12000000001</x:v>
      </x:c>
      <x:c r="M17" t="n">
        <x:f>G17-F17</x:f>
        <x:v>3</x:v>
      </x:c>
      <x:c r="N17" t="n">
        <x:f>H17-F17</x:f>
        <x:v>5</x:v>
      </x:c>
    </x:row>
    <x:row r="18">
      <x:c r="A18" s="1" t="str">
        <x:v>PO0017</x:v>
      </x:c>
      <x:c r="B18" s="1" t="str">
        <x:v>SUP13</x:v>
      </x:c>
      <x:c r="C18" s="1" t="str">
        <x:v>Colombia</x:v>
      </x:c>
      <x:c r="D18" s="1" t="str">
        <x:v>Packaging</x:v>
      </x:c>
      <x:c r="E18" s="1" t="str">
        <x:v>Buyer 1</x:v>
      </x:c>
      <x:c r="F18" s="5" t="n">
        <x:v>46249</x:v>
      </x:c>
      <x:c r="G18" s="5" t="n">
        <x:v>46250</x:v>
      </x:c>
      <x:c r="H18" s="5" t="n">
        <x:v>46250</x:v>
      </x:c>
      <x:c r="I18" s="5" t="n">
        <x:v>46265</x:v>
      </x:c>
      <x:c r="J18" s="1" t="n">
        <x:v>3419</x:v>
      </x:c>
      <x:c r="K18" s="6" t="n">
        <x:v>14.01</x:v>
      </x:c>
      <x:c r="L18" s="10" t="n">
        <x:f>J18*K18</x:f>
        <x:v>47900.19</x:v>
      </x:c>
      <x:c r="M18" t="n">
        <x:f>G18-F18</x:f>
        <x:v>1</x:v>
      </x:c>
      <x:c r="N18" t="n">
        <x:f>H18-F18</x:f>
        <x:v>1</x:v>
      </x:c>
    </x:row>
    <x:row r="19">
      <x:c r="A19" s="1" t="str">
        <x:v>PO0018</x:v>
      </x:c>
      <x:c r="B19" s="1" t="str">
        <x:v>SUP04</x:v>
      </x:c>
      <x:c r="C19" s="1" t="str">
        <x:v>Costa Rica</x:v>
      </x:c>
      <x:c r="D19" s="1" t="str">
        <x:v>Packaging</x:v>
      </x:c>
      <x:c r="E19" s="1" t="str">
        <x:v>Buyer 2</x:v>
      </x:c>
      <x:c r="F19" s="5" t="n">
        <x:v>46268</x:v>
      </x:c>
      <x:c r="G19" s="5" t="n">
        <x:v>46269</x:v>
      </x:c>
      <x:c r="H19" s="5" t="n">
        <x:v>46270</x:v>
      </x:c>
      <x:c r="I19" s="5" t="n">
        <x:v>46278</x:v>
      </x:c>
      <x:c r="J19" s="1" t="n">
        <x:v>3845</x:v>
      </x:c>
      <x:c r="K19" s="6" t="n">
        <x:v>23.34</x:v>
      </x:c>
      <x:c r="L19" s="10" t="n">
        <x:f>J19*K19</x:f>
        <x:v>89742.3</x:v>
      </x:c>
      <x:c r="M19" t="n">
        <x:f>G19-F19</x:f>
        <x:v>1</x:v>
      </x:c>
      <x:c r="N19" t="n">
        <x:f>H19-F19</x:f>
        <x:v>2</x:v>
      </x:c>
    </x:row>
    <x:row r="20">
      <x:c r="A20" s="1" t="str">
        <x:v>PO0019</x:v>
      </x:c>
      <x:c r="B20" s="1" t="str">
        <x:v>SUP02</x:v>
      </x:c>
      <x:c r="C20" s="1" t="str">
        <x:v>Guatemala</x:v>
      </x:c>
      <x:c r="D20" s="1" t="str">
        <x:v>Ingredients</x:v>
      </x:c>
      <x:c r="E20" s="1" t="str">
        <x:v>Buyer 3</x:v>
      </x:c>
      <x:c r="F20" s="5" t="n">
        <x:v>46091</x:v>
      </x:c>
      <x:c r="G20" s="5" t="n">
        <x:v>46093</x:v>
      </x:c>
      <x:c r="H20" s="5" t="n">
        <x:v>46094</x:v>
      </x:c>
      <x:c r="I20" s="5" t="n">
        <x:v>46102</x:v>
      </x:c>
      <x:c r="J20" s="1" t="n">
        <x:v>4726</x:v>
      </x:c>
      <x:c r="K20" s="6" t="n">
        <x:v>7.08</x:v>
      </x:c>
      <x:c r="L20" s="10" t="n">
        <x:f>J20*K20</x:f>
        <x:v>33460.08</x:v>
      </x:c>
      <x:c r="M20" t="n">
        <x:f>G20-F20</x:f>
        <x:v>2</x:v>
      </x:c>
      <x:c r="N20" t="n">
        <x:f>H20-F20</x:f>
        <x:v>3</x:v>
      </x:c>
    </x:row>
    <x:row r="21">
      <x:c r="A21" s="1" t="str">
        <x:v>PO0020</x:v>
      </x:c>
      <x:c r="B21" s="1" t="str">
        <x:v>SUP02</x:v>
      </x:c>
      <x:c r="C21" s="1" t="str">
        <x:v>Peru</x:v>
      </x:c>
      <x:c r="D21" s="1" t="str">
        <x:v>Ingredients</x:v>
      </x:c>
      <x:c r="E21" s="1" t="str">
        <x:v>Buyer 4</x:v>
      </x:c>
      <x:c r="F21" s="5" t="n">
        <x:v>46278</x:v>
      </x:c>
      <x:c r="G21" s="5" t="n">
        <x:v>46283</x:v>
      </x:c>
      <x:c r="H21" s="5" t="n">
        <x:v>46283</x:v>
      </x:c>
      <x:c r="I21" s="5" t="n">
        <x:v>46308</x:v>
      </x:c>
      <x:c r="J21" s="1" t="n">
        <x:v>2792</x:v>
      </x:c>
      <x:c r="K21" s="6" t="n">
        <x:v>1.15</x:v>
      </x:c>
      <x:c r="L21" s="10" t="n">
        <x:f>J21*K21</x:f>
        <x:v>3210.7999999999997</x:v>
      </x:c>
      <x:c r="M21" t="n">
        <x:f>G21-F21</x:f>
        <x:v>5</x:v>
      </x:c>
      <x:c r="N21" t="n">
        <x:f>H21-F21</x:f>
        <x:v>5</x:v>
      </x:c>
    </x:row>
    <x:row r="22">
      <x:c r="A22" s="1" t="str">
        <x:v>PO0021</x:v>
      </x:c>
      <x:c r="B22" s="1" t="str">
        <x:v>SUP01</x:v>
      </x:c>
      <x:c r="C22" s="1" t="str">
        <x:v>Chile</x:v>
      </x:c>
      <x:c r="D22" s="1" t="str">
        <x:v>Packaging</x:v>
      </x:c>
      <x:c r="E22" s="1" t="str">
        <x:v>Buyer 1</x:v>
      </x:c>
      <x:c r="F22" s="5" t="n">
        <x:v>46203</x:v>
      </x:c>
      <x:c r="G22" s="5" t="n">
        <x:v>46204</x:v>
      </x:c>
      <x:c r="H22" s="5" t="n">
        <x:v>46206</x:v>
      </x:c>
      <x:c r="I22" s="5" t="n">
        <x:v>46221</x:v>
      </x:c>
      <x:c r="J22" s="1" t="n">
        <x:v>4112</x:v>
      </x:c>
      <x:c r="K22" s="6" t="n">
        <x:v>9.45</x:v>
      </x:c>
      <x:c r="L22" s="10" t="n">
        <x:f>J22*K22</x:f>
        <x:v>38858.399999999994</x:v>
      </x:c>
      <x:c r="M22" t="n">
        <x:f>G22-F22</x:f>
        <x:v>1</x:v>
      </x:c>
      <x:c r="N22" t="n">
        <x:f>H22-F22</x:f>
        <x:v>3</x:v>
      </x:c>
    </x:row>
    <x:row r="23">
      <x:c r="A23" s="1" t="str">
        <x:v>PO0022</x:v>
      </x:c>
      <x:c r="B23" s="1" t="str">
        <x:v>SUP10</x:v>
      </x:c>
      <x:c r="C23" s="1" t="str">
        <x:v>Panama</x:v>
      </x:c>
      <x:c r="D23" s="1" t="str">
        <x:v>Packaging</x:v>
      </x:c>
      <x:c r="E23" s="1" t="str">
        <x:v>Buyer 2</x:v>
      </x:c>
      <x:c r="F23" s="5" t="n">
        <x:v>46153</x:v>
      </x:c>
      <x:c r="G23" s="5" t="n">
        <x:v>46156</x:v>
      </x:c>
      <x:c r="H23" s="5" t="n">
        <x:v>46158</x:v>
      </x:c>
      <x:c r="I23" s="5" t="n">
        <x:v>46175</x:v>
      </x:c>
      <x:c r="J23" s="1" t="n">
        <x:v>4539</x:v>
      </x:c>
      <x:c r="K23" s="6" t="n">
        <x:v>14.11</x:v>
      </x:c>
      <x:c r="L23" s="10" t="n">
        <x:f>J23*K23</x:f>
        <x:v>64045.29</x:v>
      </x:c>
      <x:c r="M23" t="n">
        <x:f>G23-F23</x:f>
        <x:v>3</x:v>
      </x:c>
      <x:c r="N23" t="n">
        <x:f>H23-F23</x:f>
        <x:v>5</x:v>
      </x:c>
    </x:row>
    <x:row r="24">
      <x:c r="A24" s="1" t="str">
        <x:v>PO0023</x:v>
      </x:c>
      <x:c r="B24" s="1" t="str">
        <x:v>SUP07</x:v>
      </x:c>
      <x:c r="C24" s="1" t="str">
        <x:v>Mexico</x:v>
      </x:c>
      <x:c r="D24" s="1" t="str">
        <x:v>Packaging</x:v>
      </x:c>
      <x:c r="E24" s="1" t="str">
        <x:v>Buyer 3</x:v>
      </x:c>
      <x:c r="F24" s="5" t="n">
        <x:v>46029</x:v>
      </x:c>
      <x:c r="G24" s="5" t="n">
        <x:v>46031</x:v>
      </x:c>
      <x:c r="H24" s="5" t="n">
        <x:v>46033</x:v>
      </x:c>
      <x:c r="I24" s="5" t="n">
        <x:v>46056</x:v>
      </x:c>
      <x:c r="J24" s="1" t="n">
        <x:v>2161</x:v>
      </x:c>
      <x:c r="K24" s="6" t="n">
        <x:v>15.04</x:v>
      </x:c>
      <x:c r="L24" s="10" t="n">
        <x:f>J24*K24</x:f>
        <x:v>32501.44</x:v>
      </x:c>
      <x:c r="M24" t="n">
        <x:f>G24-F24</x:f>
        <x:v>2</x:v>
      </x:c>
      <x:c r="N24" t="n">
        <x:f>H24-F24</x:f>
        <x:v>4</x:v>
      </x:c>
    </x:row>
    <x:row r="25">
      <x:c r="A25" s="1" t="str">
        <x:v>PO0024</x:v>
      </x:c>
      <x:c r="B25" s="1" t="str">
        <x:v>SUP10</x:v>
      </x:c>
      <x:c r="C25" s="1" t="str">
        <x:v>Colombia</x:v>
      </x:c>
      <x:c r="D25" s="1" t="str">
        <x:v>Packaging</x:v>
      </x:c>
      <x:c r="E25" s="1" t="str">
        <x:v>Buyer 4</x:v>
      </x:c>
      <x:c r="F25" s="5" t="n">
        <x:v>46130</x:v>
      </x:c>
      <x:c r="G25" s="5" t="n">
        <x:v>46132</x:v>
      </x:c>
      <x:c r="H25" s="5" t="n">
        <x:v>46134</x:v>
      </x:c>
      <x:c r="I25" s="5" t="n">
        <x:v>46144</x:v>
      </x:c>
      <x:c r="J25" s="1" t="n">
        <x:v>1625</x:v>
      </x:c>
      <x:c r="K25" s="6" t="n">
        <x:v>2.92</x:v>
      </x:c>
      <x:c r="L25" s="10" t="n">
        <x:f>J25*K25</x:f>
        <x:v>4745</x:v>
      </x:c>
      <x:c r="M25" t="n">
        <x:f>G25-F25</x:f>
        <x:v>2</x:v>
      </x:c>
      <x:c r="N25" t="n">
        <x:f>H25-F25</x:f>
        <x:v>4</x:v>
      </x:c>
    </x:row>
    <x:row r="26">
      <x:c r="A26" s="1" t="str">
        <x:v>PO0025</x:v>
      </x:c>
      <x:c r="B26" s="1" t="str">
        <x:v>SUP05</x:v>
      </x:c>
      <x:c r="C26" s="1" t="str">
        <x:v>Costa Rica</x:v>
      </x:c>
      <x:c r="D26" s="1" t="str">
        <x:v>Ingredients</x:v>
      </x:c>
      <x:c r="E26" s="1" t="str">
        <x:v>Buyer 1</x:v>
      </x:c>
      <x:c r="F26" s="5" t="n">
        <x:v>46241</x:v>
      </x:c>
      <x:c r="G26" s="5" t="n">
        <x:v>46242</x:v>
      </x:c>
      <x:c r="H26" s="5" t="n">
        <x:v>46243</x:v>
      </x:c>
      <x:c r="I26" s="5" t="n">
        <x:v>46262</x:v>
      </x:c>
      <x:c r="J26" s="1" t="n">
        <x:v>4872</x:v>
      </x:c>
      <x:c r="K26" s="6" t="n">
        <x:v>10.51</x:v>
      </x:c>
      <x:c r="L26" s="10" t="n">
        <x:f>J26*K26</x:f>
        <x:v>51204.72</x:v>
      </x:c>
      <x:c r="M26" t="n">
        <x:f>G26-F26</x:f>
        <x:v>1</x:v>
      </x:c>
      <x:c r="N26" t="n">
        <x:f>H26-F26</x:f>
        <x:v>2</x:v>
      </x:c>
    </x:row>
    <x:row r="27">
      <x:c r="A27" s="1" t="str">
        <x:v>PO0026</x:v>
      </x:c>
      <x:c r="B27" s="1" t="str">
        <x:v>SUP13</x:v>
      </x:c>
      <x:c r="C27" s="1" t="str">
        <x:v>Guatemala</x:v>
      </x:c>
      <x:c r="D27" s="1" t="str">
        <x:v>Packaging</x:v>
      </x:c>
      <x:c r="E27" s="1" t="str">
        <x:v>Buyer 2</x:v>
      </x:c>
      <x:c r="F27" s="5" t="n">
        <x:v>46150</x:v>
      </x:c>
      <x:c r="G27" s="5" t="n">
        <x:v>46151</x:v>
      </x:c>
      <x:c r="H27" s="5" t="n">
        <x:v>46153</x:v>
      </x:c>
      <x:c r="I27" s="5" t="n">
        <x:v>46172</x:v>
      </x:c>
      <x:c r="J27" s="1" t="n">
        <x:v>519</x:v>
      </x:c>
      <x:c r="K27" s="6" t="n">
        <x:v>16.68</x:v>
      </x:c>
      <x:c r="L27" s="10" t="n">
        <x:f>J27*K27</x:f>
        <x:v>8656.92</x:v>
      </x:c>
      <x:c r="M27" t="n">
        <x:f>G27-F27</x:f>
        <x:v>1</x:v>
      </x:c>
      <x:c r="N27" t="n">
        <x:f>H27-F27</x:f>
        <x:v>3</x:v>
      </x:c>
    </x:row>
    <x:row r="28">
      <x:c r="A28" s="1" t="str">
        <x:v>PO0027</x:v>
      </x:c>
      <x:c r="B28" s="1" t="str">
        <x:v>SUP13</x:v>
      </x:c>
      <x:c r="C28" s="1" t="str">
        <x:v>Peru</x:v>
      </x:c>
      <x:c r="D28" s="1" t="str">
        <x:v>Packaging</x:v>
      </x:c>
      <x:c r="E28" s="1" t="str">
        <x:v>Buyer 3</x:v>
      </x:c>
      <x:c r="F28" s="5" t="n">
        <x:v>46118</x:v>
      </x:c>
      <x:c r="G28" s="5" t="n">
        <x:v>46123</x:v>
      </x:c>
      <x:c r="H28" s="5" t="n">
        <x:v>46124</x:v>
      </x:c>
      <x:c r="I28" s="5" t="n">
        <x:v>46138</x:v>
      </x:c>
      <x:c r="J28" s="1" t="n">
        <x:v>4556</x:v>
      </x:c>
      <x:c r="K28" s="6" t="n">
        <x:v>1.53</x:v>
      </x:c>
      <x:c r="L28" s="10" t="n">
        <x:f>J28*K28</x:f>
        <x:v>6970.68</x:v>
      </x:c>
      <x:c r="M28" t="n">
        <x:f>G28-F28</x:f>
        <x:v>5</x:v>
      </x:c>
      <x:c r="N28" t="n">
        <x:f>H28-F28</x:f>
        <x:v>6</x:v>
      </x:c>
    </x:row>
    <x:row r="29">
      <x:c r="A29" s="1" t="str">
        <x:v>PO0028</x:v>
      </x:c>
      <x:c r="B29" s="1" t="str">
        <x:v>SUP14</x:v>
      </x:c>
      <x:c r="C29" s="1" t="str">
        <x:v>Chile</x:v>
      </x:c>
      <x:c r="D29" s="1" t="str">
        <x:v>Ingredients</x:v>
      </x:c>
      <x:c r="E29" s="1" t="str">
        <x:v>Buyer 4</x:v>
      </x:c>
      <x:c r="F29" s="5" t="n">
        <x:v>46185</x:v>
      </x:c>
      <x:c r="G29" s="5" t="n">
        <x:v>46187</x:v>
      </x:c>
      <x:c r="H29" s="5" t="n">
        <x:v>46188</x:v>
      </x:c>
      <x:c r="I29" s="5" t="n">
        <x:v>46196</x:v>
      </x:c>
      <x:c r="J29" s="1" t="n">
        <x:v>3680</x:v>
      </x:c>
      <x:c r="K29" s="6" t="n">
        <x:v>20.79</x:v>
      </x:c>
      <x:c r="L29" s="10" t="n">
        <x:f>J29*K29</x:f>
        <x:v>76507.2</x:v>
      </x:c>
      <x:c r="M29" t="n">
        <x:f>G29-F29</x:f>
        <x:v>2</x:v>
      </x:c>
      <x:c r="N29" t="n">
        <x:f>H29-F29</x:f>
        <x:v>3</x:v>
      </x:c>
    </x:row>
    <x:row r="30">
      <x:c r="A30" s="1" t="str">
        <x:v>PO0029</x:v>
      </x:c>
      <x:c r="B30" s="1" t="str">
        <x:v>SUP14</x:v>
      </x:c>
      <x:c r="C30" s="1" t="str">
        <x:v>Panama</x:v>
      </x:c>
      <x:c r="D30" s="1" t="str">
        <x:v>Ingredients</x:v>
      </x:c>
      <x:c r="E30" s="1" t="str">
        <x:v>Buyer 1</x:v>
      </x:c>
      <x:c r="F30" s="5" t="n">
        <x:v>46159</x:v>
      </x:c>
      <x:c r="G30" s="5" t="n">
        <x:v>46161</x:v>
      </x:c>
      <x:c r="H30" s="5" t="n">
        <x:v>46161</x:v>
      </x:c>
      <x:c r="I30" s="5" t="n">
        <x:v>46174</x:v>
      </x:c>
      <x:c r="J30" s="1" t="n">
        <x:v>3302</x:v>
      </x:c>
      <x:c r="K30" s="6" t="n">
        <x:v>23.97</x:v>
      </x:c>
      <x:c r="L30" s="10" t="n">
        <x:f>J30*K30</x:f>
        <x:v>79148.94</x:v>
      </x:c>
      <x:c r="M30" t="n">
        <x:f>G30-F30</x:f>
        <x:v>2</x:v>
      </x:c>
      <x:c r="N30" t="n">
        <x:f>H30-F30</x:f>
        <x:v>2</x:v>
      </x:c>
    </x:row>
    <x:row r="31">
      <x:c r="A31" s="1" t="str">
        <x:v>PO0030</x:v>
      </x:c>
      <x:c r="B31" s="1" t="str">
        <x:v>SUP06</x:v>
      </x:c>
      <x:c r="C31" s="1" t="str">
        <x:v>Mexico</x:v>
      </x:c>
      <x:c r="D31" s="1" t="str">
        <x:v>Maintenance services</x:v>
      </x:c>
      <x:c r="E31" s="1" t="str">
        <x:v>Buyer 2</x:v>
      </x:c>
      <x:c r="F31" s="5" t="n">
        <x:v>46062</x:v>
      </x:c>
      <x:c r="G31" s="5" t="n">
        <x:v>46065</x:v>
      </x:c>
      <x:c r="H31" s="5" t="n">
        <x:v>46066</x:v>
      </x:c>
      <x:c r="I31" s="5" t="n">
        <x:v>46077</x:v>
      </x:c>
      <x:c r="J31" s="1" t="n">
        <x:v>861</x:v>
      </x:c>
      <x:c r="K31" s="6" t="n">
        <x:v>14.03</x:v>
      </x:c>
      <x:c r="L31" s="10" t="n">
        <x:f>J31*K31</x:f>
        <x:v>12079.83</x:v>
      </x:c>
      <x:c r="M31" t="n">
        <x:f>G31-F31</x:f>
        <x:v>3</x:v>
      </x:c>
      <x:c r="N31" t="n">
        <x:f>H31-F31</x:f>
        <x:v>4</x:v>
      </x:c>
    </x:row>
    <x:row r="32">
      <x:c r="A32" s="1" t="str">
        <x:v>PO0031</x:v>
      </x:c>
      <x:c r="B32" s="1" t="str">
        <x:v>SUP11</x:v>
      </x:c>
      <x:c r="C32" s="1" t="str">
        <x:v>Colombia</x:v>
      </x:c>
      <x:c r="D32" s="1" t="str">
        <x:v>Ingredients</x:v>
      </x:c>
      <x:c r="E32" s="1" t="str">
        <x:v>Buyer 3</x:v>
      </x:c>
      <x:c r="F32" s="5" t="n">
        <x:v>46277</x:v>
      </x:c>
      <x:c r="G32" s="5" t="n">
        <x:v>46280</x:v>
      </x:c>
      <x:c r="H32" s="5" t="n">
        <x:v>46281</x:v>
      </x:c>
      <x:c r="I32" s="5" t="n">
        <x:v>46295</x:v>
      </x:c>
      <x:c r="J32" s="1" t="n">
        <x:v>1500</x:v>
      </x:c>
      <x:c r="K32" s="6" t="n">
        <x:v>5.24</x:v>
      </x:c>
      <x:c r="L32" s="10" t="n">
        <x:f>J32*K32</x:f>
        <x:v>7860</x:v>
      </x:c>
      <x:c r="M32" t="n">
        <x:f>G32-F32</x:f>
        <x:v>3</x:v>
      </x:c>
      <x:c r="N32" t="n">
        <x:f>H32-F32</x:f>
        <x:v>4</x:v>
      </x:c>
    </x:row>
    <x:row r="33">
      <x:c r="A33" s="1" t="str">
        <x:v>PO0032</x:v>
      </x:c>
      <x:c r="B33" s="1" t="str">
        <x:v>SUP10</x:v>
      </x:c>
      <x:c r="C33" s="1" t="str">
        <x:v>Costa Rica</x:v>
      </x:c>
      <x:c r="D33" s="1" t="str">
        <x:v>Packaging</x:v>
      </x:c>
      <x:c r="E33" s="1" t="str">
        <x:v>Buyer 4</x:v>
      </x:c>
      <x:c r="F33" s="5" t="n">
        <x:v>46223</x:v>
      </x:c>
      <x:c r="G33" s="5" t="n">
        <x:v>46226</x:v>
      </x:c>
      <x:c r="H33" s="5" t="n">
        <x:v>46228</x:v>
      </x:c>
      <x:c r="I33" s="5" t="n">
        <x:v>46253</x:v>
      </x:c>
      <x:c r="J33" s="1" t="n">
        <x:v>1910</x:v>
      </x:c>
      <x:c r="K33" s="6" t="n">
        <x:v>5.93</x:v>
      </x:c>
      <x:c r="L33" s="10" t="n">
        <x:f>J33*K33</x:f>
        <x:v>11326.3</x:v>
      </x:c>
      <x:c r="M33" t="n">
        <x:f>G33-F33</x:f>
        <x:v>3</x:v>
      </x:c>
      <x:c r="N33" t="n">
        <x:f>H33-F33</x:f>
        <x:v>5</x:v>
      </x:c>
    </x:row>
    <x:row r="34">
      <x:c r="A34" s="1" t="str">
        <x:v>PO0033</x:v>
      </x:c>
      <x:c r="B34" s="1" t="str">
        <x:v>SUP05</x:v>
      </x:c>
      <x:c r="C34" s="1" t="str">
        <x:v>Guatemala</x:v>
      </x:c>
      <x:c r="D34" s="1" t="str">
        <x:v>Ingredients</x:v>
      </x:c>
      <x:c r="E34" s="1" t="str">
        <x:v>Buyer 1</x:v>
      </x:c>
      <x:c r="F34" s="5" t="n">
        <x:v>46273</x:v>
      </x:c>
      <x:c r="G34" s="5" t="n">
        <x:v>46274</x:v>
      </x:c>
      <x:c r="H34" s="5" t="n">
        <x:v>46274</x:v>
      </x:c>
      <x:c r="I34" s="5" t="n">
        <x:v>46282</x:v>
      </x:c>
      <x:c r="J34" s="1" t="n">
        <x:v>3098</x:v>
      </x:c>
      <x:c r="K34" s="6" t="n">
        <x:v>16.29</x:v>
      </x:c>
      <x:c r="L34" s="10" t="n">
        <x:f>J34*K34</x:f>
        <x:v>50466.42</x:v>
      </x:c>
      <x:c r="M34" t="n">
        <x:f>G34-F34</x:f>
        <x:v>1</x:v>
      </x:c>
      <x:c r="N34" t="n">
        <x:f>H34-F34</x:f>
        <x:v>1</x:v>
      </x:c>
    </x:row>
    <x:row r="35">
      <x:c r="A35" s="1" t="str">
        <x:v>PO0034</x:v>
      </x:c>
      <x:c r="B35" s="1" t="str">
        <x:v>SUP02</x:v>
      </x:c>
      <x:c r="C35" s="1" t="str">
        <x:v>Peru</x:v>
      </x:c>
      <x:c r="D35" s="1" t="str">
        <x:v>Ingredients</x:v>
      </x:c>
      <x:c r="E35" s="1" t="str">
        <x:v>Buyer 2</x:v>
      </x:c>
      <x:c r="F35" s="5" t="n">
        <x:v>46103</x:v>
      </x:c>
      <x:c r="G35" s="5" t="n">
        <x:v>46106</x:v>
      </x:c>
      <x:c r="H35" s="5" t="n">
        <x:v>46106</x:v>
      </x:c>
      <x:c r="I35" s="5" t="n">
        <x:v>46131</x:v>
      </x:c>
      <x:c r="J35" s="1" t="n">
        <x:v>4098</x:v>
      </x:c>
      <x:c r="K35" s="6" t="n">
        <x:v>9.39</x:v>
      </x:c>
      <x:c r="L35" s="10" t="n">
        <x:f>J35*K35</x:f>
        <x:v>38480.22</x:v>
      </x:c>
      <x:c r="M35" t="n">
        <x:f>G35-F35</x:f>
        <x:v>3</x:v>
      </x:c>
      <x:c r="N35" t="n">
        <x:f>H35-F35</x:f>
        <x:v>3</x:v>
      </x:c>
    </x:row>
    <x:row r="36">
      <x:c r="A36" s="1" t="str">
        <x:v>PO0035</x:v>
      </x:c>
      <x:c r="B36" s="1" t="str">
        <x:v>SUP06</x:v>
      </x:c>
      <x:c r="C36" s="1" t="str">
        <x:v>Chile</x:v>
      </x:c>
      <x:c r="D36" s="1" t="str">
        <x:v>Maintenance services</x:v>
      </x:c>
      <x:c r="E36" s="1" t="str">
        <x:v>Buyer 3</x:v>
      </x:c>
      <x:c r="F36" s="5" t="n">
        <x:v>46103</x:v>
      </x:c>
      <x:c r="G36" s="5" t="n">
        <x:v>46107</x:v>
      </x:c>
      <x:c r="H36" s="5" t="n">
        <x:v>46109</x:v>
      </x:c>
      <x:c r="I36" s="5" t="n">
        <x:v>46128</x:v>
      </x:c>
      <x:c r="J36" s="1" t="n">
        <x:v>532</x:v>
      </x:c>
      <x:c r="K36" s="6" t="n">
        <x:v>2.8</x:v>
      </x:c>
      <x:c r="L36" s="10" t="n">
        <x:f>J36*K36</x:f>
        <x:v>1489.6</x:v>
      </x:c>
      <x:c r="M36" t="n">
        <x:f>G36-F36</x:f>
        <x:v>4</x:v>
      </x:c>
      <x:c r="N36" t="n">
        <x:f>H36-F36</x:f>
        <x:v>6</x:v>
      </x:c>
    </x:row>
    <x:row r="37">
      <x:c r="A37" s="1" t="str">
        <x:v>PO0036</x:v>
      </x:c>
      <x:c r="B37" s="1" t="str">
        <x:v>SUP08</x:v>
      </x:c>
      <x:c r="C37" s="1" t="str">
        <x:v>Panama</x:v>
      </x:c>
      <x:c r="D37" s="1" t="str">
        <x:v>Ingredients</x:v>
      </x:c>
      <x:c r="E37" s="1" t="str">
        <x:v>Buyer 4</x:v>
      </x:c>
      <x:c r="F37" s="5" t="n">
        <x:v>46226</x:v>
      </x:c>
      <x:c r="G37" s="5" t="n">
        <x:v>46230</x:v>
      </x:c>
      <x:c r="H37" s="5" t="n">
        <x:v>46231</x:v>
      </x:c>
      <x:c r="I37" s="5" t="n">
        <x:v>46249</x:v>
      </x:c>
      <x:c r="J37" s="1" t="n">
        <x:v>1860</x:v>
      </x:c>
      <x:c r="K37" s="6" t="n">
        <x:v>15.08</x:v>
      </x:c>
      <x:c r="L37" s="10" t="n">
        <x:f>J37*K37</x:f>
        <x:v>28048.8</x:v>
      </x:c>
      <x:c r="M37" t="n">
        <x:f>G37-F37</x:f>
        <x:v>4</x:v>
      </x:c>
      <x:c r="N37" t="n">
        <x:f>H37-F37</x:f>
        <x:v>5</x:v>
      </x:c>
    </x:row>
    <x:row r="38">
      <x:c r="A38" s="1" t="str">
        <x:v>PO0037</x:v>
      </x:c>
      <x:c r="B38" s="1" t="str">
        <x:v>SUP10</x:v>
      </x:c>
      <x:c r="C38" s="1" t="str">
        <x:v>Mexico</x:v>
      </x:c>
      <x:c r="D38" s="1" t="str">
        <x:v>Packaging</x:v>
      </x:c>
      <x:c r="E38" s="1" t="str">
        <x:v>Buyer 1</x:v>
      </x:c>
      <x:c r="F38" s="5" t="n">
        <x:v>46116</x:v>
      </x:c>
      <x:c r="G38" s="5" t="n">
        <x:v>46117</x:v>
      </x:c>
      <x:c r="H38" s="5" t="n">
        <x:v>46117</x:v>
      </x:c>
      <x:c r="I38" s="5" t="n">
        <x:v>46131</x:v>
      </x:c>
      <x:c r="J38" s="1" t="n">
        <x:v>2804</x:v>
      </x:c>
      <x:c r="K38" s="6" t="n">
        <x:v>23.99</x:v>
      </x:c>
      <x:c r="L38" s="10" t="n">
        <x:f>J38*K38</x:f>
        <x:v>67267.95999999999</x:v>
      </x:c>
      <x:c r="M38" t="n">
        <x:f>G38-F38</x:f>
        <x:v>1</x:v>
      </x:c>
      <x:c r="N38" t="n">
        <x:f>H38-F38</x:f>
        <x:v>1</x:v>
      </x:c>
    </x:row>
    <x:row r="39">
      <x:c r="A39" s="1" t="str">
        <x:v>PO0038</x:v>
      </x:c>
      <x:c r="B39" s="1" t="str">
        <x:v>SUP03</x:v>
      </x:c>
      <x:c r="C39" s="1" t="str">
        <x:v>Colombia</x:v>
      </x:c>
      <x:c r="D39" s="1" t="str">
        <x:v>Maintenance services</x:v>
      </x:c>
      <x:c r="E39" s="1" t="str">
        <x:v>Buyer 2</x:v>
      </x:c>
      <x:c r="F39" s="5" t="n">
        <x:v>46194</x:v>
      </x:c>
      <x:c r="G39" s="5" t="n">
        <x:v>46200</x:v>
      </x:c>
      <x:c r="H39" s="5" t="n">
        <x:v>46202</x:v>
      </x:c>
      <x:c r="I39" s="5" t="n">
        <x:v>46215</x:v>
      </x:c>
      <x:c r="J39" s="1" t="n">
        <x:v>141</x:v>
      </x:c>
      <x:c r="K39" s="6" t="n">
        <x:v>15.71</x:v>
      </x:c>
      <x:c r="L39" s="10" t="n">
        <x:f>J39*K39</x:f>
        <x:v>2215.11</x:v>
      </x:c>
      <x:c r="M39" t="n">
        <x:f>G39-F39</x:f>
        <x:v>6</x:v>
      </x:c>
      <x:c r="N39" t="n">
        <x:f>H39-F39</x:f>
        <x:v>8</x:v>
      </x:c>
    </x:row>
    <x:row r="40">
      <x:c r="A40" s="1" t="str">
        <x:v>PO0039</x:v>
      </x:c>
      <x:c r="B40" s="1" t="str">
        <x:v>SUP04</x:v>
      </x:c>
      <x:c r="C40" s="1" t="str">
        <x:v>Costa Rica</x:v>
      </x:c>
      <x:c r="D40" s="1" t="str">
        <x:v>Packaging</x:v>
      </x:c>
      <x:c r="E40" s="1" t="str">
        <x:v>Buyer 3</x:v>
      </x:c>
      <x:c r="F40" s="5" t="n">
        <x:v>46128</x:v>
      </x:c>
      <x:c r="G40" s="5" t="n">
        <x:v>46129</x:v>
      </x:c>
      <x:c r="H40" s="5" t="n">
        <x:v>46129</x:v>
      </x:c>
      <x:c r="I40" s="5" t="n">
        <x:v>46143</x:v>
      </x:c>
      <x:c r="J40" s="1" t="n">
        <x:v>2169</x:v>
      </x:c>
      <x:c r="K40" s="6" t="n">
        <x:v>12.79</x:v>
      </x:c>
      <x:c r="L40" s="10" t="n">
        <x:f>J40*K40</x:f>
        <x:v>27741.51</x:v>
      </x:c>
      <x:c r="M40" t="n">
        <x:f>G40-F40</x:f>
        <x:v>1</x:v>
      </x:c>
      <x:c r="N40" t="n">
        <x:f>H40-F40</x:f>
        <x:v>1</x:v>
      </x:c>
    </x:row>
    <x:row r="41">
      <x:c r="A41" s="1" t="str">
        <x:v>PO0040</x:v>
      </x:c>
      <x:c r="B41" s="1" t="str">
        <x:v>SUP09</x:v>
      </x:c>
      <x:c r="C41" s="1" t="str">
        <x:v>Guatemala</x:v>
      </x:c>
      <x:c r="D41" s="1" t="str">
        <x:v>Maintenance services</x:v>
      </x:c>
      <x:c r="E41" s="1" t="str">
        <x:v>Buyer 4</x:v>
      </x:c>
      <x:c r="F41" s="5" t="n">
        <x:v>46063</x:v>
      </x:c>
      <x:c r="G41" s="5" t="n">
        <x:v>46064</x:v>
      </x:c>
      <x:c r="H41" s="5" t="n">
        <x:v>46064</x:v>
      </x:c>
      <x:c r="I41" s="5" t="n">
        <x:v>46079</x:v>
      </x:c>
      <x:c r="J41" s="1" t="n">
        <x:v>480</x:v>
      </x:c>
      <x:c r="K41" s="6" t="n">
        <x:v>17.41</x:v>
      </x:c>
      <x:c r="L41" s="10" t="n">
        <x:f>J41*K41</x:f>
        <x:v>8356.8</x:v>
      </x:c>
      <x:c r="M41" t="n">
        <x:f>G41-F41</x:f>
        <x:v>1</x:v>
      </x:c>
      <x:c r="N41" t="n">
        <x:f>H41-F41</x:f>
        <x:v>1</x:v>
      </x:c>
    </x:row>
    <x:row r="42">
      <x:c r="A42" s="1" t="str">
        <x:v>PO0041</x:v>
      </x:c>
      <x:c r="B42" s="1" t="str">
        <x:v>SUP01</x:v>
      </x:c>
      <x:c r="C42" s="1" t="str">
        <x:v>Peru</x:v>
      </x:c>
      <x:c r="D42" s="1" t="str">
        <x:v>Packaging</x:v>
      </x:c>
      <x:c r="E42" s="1" t="str">
        <x:v>Buyer 1</x:v>
      </x:c>
      <x:c r="F42" s="5" t="n">
        <x:v>46228</x:v>
      </x:c>
      <x:c r="G42" s="5" t="n">
        <x:v>46229</x:v>
      </x:c>
      <x:c r="H42" s="5" t="n">
        <x:v>46230</x:v>
      </x:c>
      <x:c r="I42" s="5" t="n">
        <x:v>46239</x:v>
      </x:c>
      <x:c r="J42" s="1" t="n">
        <x:v>1862</x:v>
      </x:c>
      <x:c r="K42" s="6" t="n">
        <x:v>5.58</x:v>
      </x:c>
      <x:c r="L42" s="10" t="n">
        <x:f>J42*K42</x:f>
        <x:v>10389.960000000001</x:v>
      </x:c>
      <x:c r="M42" t="n">
        <x:f>G42-F42</x:f>
        <x:v>1</x:v>
      </x:c>
      <x:c r="N42" t="n">
        <x:f>H42-F42</x:f>
        <x:v>2</x:v>
      </x:c>
    </x:row>
    <x:row r="43">
      <x:c r="A43" s="1" t="str">
        <x:v>PO0042</x:v>
      </x:c>
      <x:c r="B43" s="1" t="str">
        <x:v>SUP04</x:v>
      </x:c>
      <x:c r="C43" s="1" t="str">
        <x:v>Chile</x:v>
      </x:c>
      <x:c r="D43" s="1" t="str">
        <x:v>Packaging</x:v>
      </x:c>
      <x:c r="E43" s="1" t="str">
        <x:v>Buyer 2</x:v>
      </x:c>
      <x:c r="F43" s="5" t="n">
        <x:v>46228</x:v>
      </x:c>
      <x:c r="G43" s="5" t="n">
        <x:v>46229</x:v>
      </x:c>
      <x:c r="H43" s="5" t="n">
        <x:v>46230</x:v>
      </x:c>
      <x:c r="I43" s="5" t="n">
        <x:v>46244</x:v>
      </x:c>
      <x:c r="J43" s="1" t="n">
        <x:v>2032</x:v>
      </x:c>
      <x:c r="K43" s="6" t="n">
        <x:v>15.27</x:v>
      </x:c>
      <x:c r="L43" s="10" t="n">
        <x:f>J43*K43</x:f>
        <x:v>31028.64</x:v>
      </x:c>
      <x:c r="M43" t="n">
        <x:f>G43-F43</x:f>
        <x:v>1</x:v>
      </x:c>
      <x:c r="N43" t="n">
        <x:f>H43-F43</x:f>
        <x:v>2</x:v>
      </x:c>
    </x:row>
    <x:row r="44">
      <x:c r="A44" s="1" t="str">
        <x:v>PO0043</x:v>
      </x:c>
      <x:c r="B44" s="1" t="str">
        <x:v>SUP09</x:v>
      </x:c>
      <x:c r="C44" s="1" t="str">
        <x:v>Panama</x:v>
      </x:c>
      <x:c r="D44" s="1" t="str">
        <x:v>Maintenance services</x:v>
      </x:c>
      <x:c r="E44" s="1" t="str">
        <x:v>Buyer 3</x:v>
      </x:c>
      <x:c r="F44" s="5" t="n">
        <x:v>46038</x:v>
      </x:c>
      <x:c r="G44" s="5" t="n">
        <x:v>46040</x:v>
      </x:c>
      <x:c r="H44" s="5" t="n">
        <x:v>46042</x:v>
      </x:c>
      <x:c r="I44" s="5" t="n">
        <x:v>46052</x:v>
      </x:c>
      <x:c r="J44" s="1" t="n">
        <x:v>3340</x:v>
      </x:c>
      <x:c r="K44" s="6" t="n">
        <x:v>22.52</x:v>
      </x:c>
      <x:c r="L44" s="10" t="n">
        <x:f>J44*K44</x:f>
        <x:v>75216.8</x:v>
      </x:c>
      <x:c r="M44" t="n">
        <x:f>G44-F44</x:f>
        <x:v>2</x:v>
      </x:c>
      <x:c r="N44" t="n">
        <x:f>H44-F44</x:f>
        <x:v>4</x:v>
      </x:c>
    </x:row>
    <x:row r="45">
      <x:c r="A45" s="1" t="str">
        <x:v>PO0044</x:v>
      </x:c>
      <x:c r="B45" s="1" t="str">
        <x:v>SUP09</x:v>
      </x:c>
      <x:c r="C45" s="1" t="str">
        <x:v>Mexico</x:v>
      </x:c>
      <x:c r="D45" s="1" t="str">
        <x:v>Maintenance services</x:v>
      </x:c>
      <x:c r="E45" s="1" t="str">
        <x:v>Buyer 4</x:v>
      </x:c>
      <x:c r="F45" s="5" t="n">
        <x:v>46147</x:v>
      </x:c>
      <x:c r="G45" s="5" t="n">
        <x:v>46150</x:v>
      </x:c>
      <x:c r="H45" s="5" t="n">
        <x:v>46151</x:v>
      </x:c>
      <x:c r="I45" s="5" t="n">
        <x:v>46169</x:v>
      </x:c>
      <x:c r="J45" s="1" t="n">
        <x:v>2091</x:v>
      </x:c>
      <x:c r="K45" s="6" t="n">
        <x:v>1.27</x:v>
      </x:c>
      <x:c r="L45" s="10" t="n">
        <x:f>J45*K45</x:f>
        <x:v>2655.57</x:v>
      </x:c>
      <x:c r="M45" t="n">
        <x:f>G45-F45</x:f>
        <x:v>3</x:v>
      </x:c>
      <x:c r="N45" t="n">
        <x:f>H45-F45</x:f>
        <x:v>4</x:v>
      </x:c>
    </x:row>
    <x:row r="46">
      <x:c r="A46" s="1" t="str">
        <x:v>PO0045</x:v>
      </x:c>
      <x:c r="B46" s="1" t="str">
        <x:v>SUP07</x:v>
      </x:c>
      <x:c r="C46" s="1" t="str">
        <x:v>Colombia</x:v>
      </x:c>
      <x:c r="D46" s="1" t="str">
        <x:v>Packaging</x:v>
      </x:c>
      <x:c r="E46" s="1" t="str">
        <x:v>Buyer 1</x:v>
      </x:c>
      <x:c r="F46" s="5" t="n">
        <x:v>46023</x:v>
      </x:c>
      <x:c r="G46" s="5" t="n">
        <x:v>46028</x:v>
      </x:c>
      <x:c r="H46" s="5" t="n">
        <x:v>46028</x:v>
      </x:c>
      <x:c r="I46" s="5" t="n">
        <x:v>46041</x:v>
      </x:c>
      <x:c r="J46" s="1" t="n">
        <x:v>4388</x:v>
      </x:c>
      <x:c r="K46" s="6" t="n">
        <x:v>12.06</x:v>
      </x:c>
      <x:c r="L46" s="10" t="n">
        <x:f>J46*K46</x:f>
        <x:v>52919.28</x:v>
      </x:c>
      <x:c r="M46" t="n">
        <x:f>G46-F46</x:f>
        <x:v>5</x:v>
      </x:c>
      <x:c r="N46" t="n">
        <x:f>H46-F46</x:f>
        <x:v>5</x:v>
      </x:c>
    </x:row>
    <x:row r="47">
      <x:c r="A47" s="1" t="str">
        <x:v>PO0046</x:v>
      </x:c>
      <x:c r="B47" s="1" t="str">
        <x:v>SUP11</x:v>
      </x:c>
      <x:c r="C47" s="1" t="str">
        <x:v>Costa Rica</x:v>
      </x:c>
      <x:c r="D47" s="1" t="str">
        <x:v>Ingredients</x:v>
      </x:c>
      <x:c r="E47" s="1" t="str">
        <x:v>Buyer 2</x:v>
      </x:c>
      <x:c r="F47" s="5" t="n">
        <x:v>46214</x:v>
      </x:c>
      <x:c r="G47" s="5" t="n">
        <x:v>46216</x:v>
      </x:c>
      <x:c r="H47" s="5" t="n">
        <x:v>46218</x:v>
      </x:c>
      <x:c r="I47" s="5" t="n">
        <x:v>46235</x:v>
      </x:c>
      <x:c r="J47" s="1" t="n">
        <x:v>2846</x:v>
      </x:c>
      <x:c r="K47" s="6" t="n">
        <x:v>10.14</x:v>
      </x:c>
      <x:c r="L47" s="10" t="n">
        <x:f>J47*K47</x:f>
        <x:v>28858.440000000002</x:v>
      </x:c>
      <x:c r="M47" t="n">
        <x:f>G47-F47</x:f>
        <x:v>2</x:v>
      </x:c>
      <x:c r="N47" t="n">
        <x:f>H47-F47</x:f>
        <x:v>4</x:v>
      </x:c>
    </x:row>
    <x:row r="48">
      <x:c r="A48" s="1" t="str">
        <x:v>PO0047</x:v>
      </x:c>
      <x:c r="B48" s="1" t="str">
        <x:v>SUP09</x:v>
      </x:c>
      <x:c r="C48" s="1" t="str">
        <x:v>Guatemala</x:v>
      </x:c>
      <x:c r="D48" s="1" t="str">
        <x:v>Maintenance services</x:v>
      </x:c>
      <x:c r="E48" s="1" t="str">
        <x:v>Buyer 3</x:v>
      </x:c>
      <x:c r="F48" s="5" t="n">
        <x:v>46098</x:v>
      </x:c>
      <x:c r="G48" s="5" t="n">
        <x:v>46100</x:v>
      </x:c>
      <x:c r="H48" s="5" t="n">
        <x:v>46100</x:v>
      </x:c>
      <x:c r="I48" s="5" t="n">
        <x:v>46108</x:v>
      </x:c>
      <x:c r="J48" s="1" t="n">
        <x:v>4079</x:v>
      </x:c>
      <x:c r="K48" s="6" t="n">
        <x:v>18.18</x:v>
      </x:c>
      <x:c r="L48" s="10" t="n">
        <x:f>J48*K48</x:f>
        <x:v>74156.22</x:v>
      </x:c>
      <x:c r="M48" t="n">
        <x:f>G48-F48</x:f>
        <x:v>2</x:v>
      </x:c>
      <x:c r="N48" t="n">
        <x:f>H48-F48</x:f>
        <x:v>2</x:v>
      </x:c>
    </x:row>
    <x:row r="49">
      <x:c r="A49" s="1" t="str">
        <x:v>PO0048</x:v>
      </x:c>
      <x:c r="B49" s="1" t="str">
        <x:v>SUP14</x:v>
      </x:c>
      <x:c r="C49" s="1" t="str">
        <x:v>Peru</x:v>
      </x:c>
      <x:c r="D49" s="1" t="str">
        <x:v>Ingredients</x:v>
      </x:c>
      <x:c r="E49" s="1" t="str">
        <x:v>Buyer 4</x:v>
      </x:c>
      <x:c r="F49" s="5" t="n">
        <x:v>46206</x:v>
      </x:c>
      <x:c r="G49" s="5" t="n">
        <x:v>46211</x:v>
      </x:c>
      <x:c r="H49" s="5" t="n">
        <x:v>46212</x:v>
      </x:c>
      <x:c r="I49" s="5" t="n">
        <x:v>46229</x:v>
      </x:c>
      <x:c r="J49" s="1" t="n">
        <x:v>2430</x:v>
      </x:c>
      <x:c r="K49" s="6" t="n">
        <x:v>8.92</x:v>
      </x:c>
      <x:c r="L49" s="10" t="n">
        <x:f>J49*K49</x:f>
        <x:v>21675.6</x:v>
      </x:c>
      <x:c r="M49" t="n">
        <x:f>G49-F49</x:f>
        <x:v>5</x:v>
      </x:c>
      <x:c r="N49" t="n">
        <x:f>H49-F49</x:f>
        <x:v>6</x:v>
      </x:c>
    </x:row>
    <x:row r="50">
      <x:c r="A50" s="1" t="str">
        <x:v>PO0049</x:v>
      </x:c>
      <x:c r="B50" s="1" t="str">
        <x:v>SUP09</x:v>
      </x:c>
      <x:c r="C50" s="1" t="str">
        <x:v>Chile</x:v>
      </x:c>
      <x:c r="D50" s="1" t="str">
        <x:v>Maintenance services</x:v>
      </x:c>
      <x:c r="E50" s="1" t="str">
        <x:v>Buyer 1</x:v>
      </x:c>
      <x:c r="F50" s="5" t="n">
        <x:v>46211</x:v>
      </x:c>
      <x:c r="G50" s="5" t="n">
        <x:v>46213</x:v>
      </x:c>
      <x:c r="H50" s="5" t="n">
        <x:v>46215</x:v>
      </x:c>
      <x:c r="I50" s="5" t="n">
        <x:v>46239</x:v>
      </x:c>
      <x:c r="J50" s="1" t="n">
        <x:v>2498</x:v>
      </x:c>
      <x:c r="K50" s="6" t="n">
        <x:v>1.54</x:v>
      </x:c>
      <x:c r="L50" s="10" t="n">
        <x:f>J50*K50</x:f>
        <x:v>3846.92</x:v>
      </x:c>
      <x:c r="M50" t="n">
        <x:f>G50-F50</x:f>
        <x:v>2</x:v>
      </x:c>
      <x:c r="N50" t="n">
        <x:f>H50-F50</x:f>
        <x:v>4</x:v>
      </x:c>
    </x:row>
    <x:row r="51">
      <x:c r="A51" s="1" t="str">
        <x:v>PO0050</x:v>
      </x:c>
      <x:c r="B51" s="1" t="str">
        <x:v>SUP13</x:v>
      </x:c>
      <x:c r="C51" s="1" t="str">
        <x:v>Panama</x:v>
      </x:c>
      <x:c r="D51" s="1" t="str">
        <x:v>Packaging</x:v>
      </x:c>
      <x:c r="E51" s="1" t="str">
        <x:v>Buyer 2</x:v>
      </x:c>
      <x:c r="F51" s="5" t="n">
        <x:v>46113</x:v>
      </x:c>
      <x:c r="G51" s="5" t="n">
        <x:v>46115</x:v>
      </x:c>
      <x:c r="H51" s="5" t="n">
        <x:v>46116</x:v>
      </x:c>
      <x:c r="I51" s="5" t="n">
        <x:v>46132</x:v>
      </x:c>
      <x:c r="J51" s="1" t="n">
        <x:v>3062</x:v>
      </x:c>
      <x:c r="K51" s="6" t="n">
        <x:v>17.32</x:v>
      </x:c>
      <x:c r="L51" s="10" t="n">
        <x:f>J51*K51</x:f>
        <x:v>53033.840000000004</x:v>
      </x:c>
      <x:c r="M51" t="n">
        <x:f>G51-F51</x:f>
        <x:v>2</x:v>
      </x:c>
      <x:c r="N51" t="n">
        <x:f>H51-F51</x:f>
        <x:v>3</x:v>
      </x:c>
    </x:row>
    <x:row r="52">
      <x:c r="A52" s="1" t="str">
        <x:v>PO0051</x:v>
      </x:c>
      <x:c r="B52" s="1" t="str">
        <x:v>SUP08</x:v>
      </x:c>
      <x:c r="C52" s="1" t="str">
        <x:v>Mexico</x:v>
      </x:c>
      <x:c r="D52" s="1" t="str">
        <x:v>Ingredients</x:v>
      </x:c>
      <x:c r="E52" s="1" t="str">
        <x:v>Buyer 3</x:v>
      </x:c>
      <x:c r="F52" s="5" t="n">
        <x:v>46187</x:v>
      </x:c>
      <x:c r="G52" s="5" t="n">
        <x:v>46192</x:v>
      </x:c>
      <x:c r="H52" s="5" t="n">
        <x:v>46192</x:v>
      </x:c>
      <x:c r="I52" s="5" t="n">
        <x:v>46201</x:v>
      </x:c>
      <x:c r="J52" s="1" t="n">
        <x:v>3300</x:v>
      </x:c>
      <x:c r="K52" s="6" t="n">
        <x:v>2.23</x:v>
      </x:c>
      <x:c r="L52" s="10" t="n">
        <x:f>J52*K52</x:f>
        <x:v>7359</x:v>
      </x:c>
      <x:c r="M52" t="n">
        <x:f>G52-F52</x:f>
        <x:v>5</x:v>
      </x:c>
      <x:c r="N52" t="n">
        <x:f>H52-F52</x:f>
        <x:v>5</x:v>
      </x:c>
    </x:row>
    <x:row r="53">
      <x:c r="A53" s="1" t="str">
        <x:v>PO0052</x:v>
      </x:c>
      <x:c r="B53" s="1" t="str">
        <x:v>SUP02</x:v>
      </x:c>
      <x:c r="C53" s="1" t="str">
        <x:v>Colombia</x:v>
      </x:c>
      <x:c r="D53" s="1" t="str">
        <x:v>Ingredients</x:v>
      </x:c>
      <x:c r="E53" s="1" t="str">
        <x:v>Buyer 4</x:v>
      </x:c>
      <x:c r="F53" s="5" t="n">
        <x:v>46080</x:v>
      </x:c>
      <x:c r="G53" s="5" t="n">
        <x:v>46083</x:v>
      </x:c>
      <x:c r="H53" s="5" t="n">
        <x:v>46083</x:v>
      </x:c>
      <x:c r="I53" s="5" t="n">
        <x:v>46106</x:v>
      </x:c>
      <x:c r="J53" s="1" t="n">
        <x:v>242</x:v>
      </x:c>
      <x:c r="K53" s="6" t="n">
        <x:v>3.34</x:v>
      </x:c>
      <x:c r="L53" s="10" t="n">
        <x:f>J53*K53</x:f>
        <x:v>808.28</x:v>
      </x:c>
      <x:c r="M53" t="n">
        <x:f>G53-F53</x:f>
        <x:v>3</x:v>
      </x:c>
      <x:c r="N53" t="n">
        <x:f>H53-F53</x:f>
        <x:v>3</x:v>
      </x:c>
    </x:row>
    <x:row r="54">
      <x:c r="A54" s="1" t="str">
        <x:v>PO0053</x:v>
      </x:c>
      <x:c r="B54" s="1" t="str">
        <x:v>SUP11</x:v>
      </x:c>
      <x:c r="C54" s="1" t="str">
        <x:v>Costa Rica</x:v>
      </x:c>
      <x:c r="D54" s="1" t="str">
        <x:v>Ingredients</x:v>
      </x:c>
      <x:c r="E54" s="1" t="str">
        <x:v>Buyer 1</x:v>
      </x:c>
      <x:c r="F54" s="5" t="n">
        <x:v>46053</x:v>
      </x:c>
      <x:c r="G54" s="5" t="n">
        <x:v>46058</x:v>
      </x:c>
      <x:c r="H54" s="5" t="n">
        <x:v>46059</x:v>
      </x:c>
      <x:c r="I54" s="5" t="n">
        <x:v>46073</x:v>
      </x:c>
      <x:c r="J54" s="1" t="n">
        <x:v>4588</x:v>
      </x:c>
      <x:c r="K54" s="6" t="n">
        <x:v>6.34</x:v>
      </x:c>
      <x:c r="L54" s="10" t="n">
        <x:f>J54*K54</x:f>
        <x:v>29087.92</x:v>
      </x:c>
      <x:c r="M54" t="n">
        <x:f>G54-F54</x:f>
        <x:v>5</x:v>
      </x:c>
      <x:c r="N54" t="n">
        <x:f>H54-F54</x:f>
        <x:v>6</x:v>
      </x:c>
    </x:row>
    <x:row r="55">
      <x:c r="A55" s="1" t="str">
        <x:v>PO0054</x:v>
      </x:c>
      <x:c r="B55" s="1" t="str">
        <x:v>SUP04</x:v>
      </x:c>
      <x:c r="C55" s="1" t="str">
        <x:v>Guatemala</x:v>
      </x:c>
      <x:c r="D55" s="1" t="str">
        <x:v>Packaging</x:v>
      </x:c>
      <x:c r="E55" s="1" t="str">
        <x:v>Buyer 2</x:v>
      </x:c>
      <x:c r="F55" s="5" t="n">
        <x:v>46063</x:v>
      </x:c>
      <x:c r="G55" s="5" t="n">
        <x:v>46066</x:v>
      </x:c>
      <x:c r="H55" s="5" t="n">
        <x:v>46067</x:v>
      </x:c>
      <x:c r="I55" s="5" t="n">
        <x:v>46078</x:v>
      </x:c>
      <x:c r="J55" s="1" t="n">
        <x:v>4645</x:v>
      </x:c>
      <x:c r="K55" s="6" t="n">
        <x:v>14.8</x:v>
      </x:c>
      <x:c r="L55" s="10" t="n">
        <x:f>J55*K55</x:f>
        <x:v>68746</x:v>
      </x:c>
      <x:c r="M55" t="n">
        <x:f>G55-F55</x:f>
        <x:v>3</x:v>
      </x:c>
      <x:c r="N55" t="n">
        <x:f>H55-F55</x:f>
        <x:v>4</x:v>
      </x:c>
    </x:row>
    <x:row r="56">
      <x:c r="A56" s="1" t="str">
        <x:v>PO0055</x:v>
      </x:c>
      <x:c r="B56" s="1" t="str">
        <x:v>SUP11</x:v>
      </x:c>
      <x:c r="C56" s="1" t="str">
        <x:v>Peru</x:v>
      </x:c>
      <x:c r="D56" s="1" t="str">
        <x:v>Ingredients</x:v>
      </x:c>
      <x:c r="E56" s="1" t="str">
        <x:v>Buyer 3</x:v>
      </x:c>
      <x:c r="F56" s="5" t="n">
        <x:v>46183</x:v>
      </x:c>
      <x:c r="G56" s="5" t="n">
        <x:v>46188</x:v>
      </x:c>
      <x:c r="H56" s="5" t="n">
        <x:v>46188</x:v>
      </x:c>
      <x:c r="I56" s="5" t="n">
        <x:v>46209</x:v>
      </x:c>
      <x:c r="J56" s="1" t="n">
        <x:v>1561</x:v>
      </x:c>
      <x:c r="K56" s="6" t="n">
        <x:v>1.04</x:v>
      </x:c>
      <x:c r="L56" s="10" t="n">
        <x:f>J56*K56</x:f>
        <x:v>1623.44</x:v>
      </x:c>
      <x:c r="M56" t="n">
        <x:f>G56-F56</x:f>
        <x:v>5</x:v>
      </x:c>
      <x:c r="N56" t="n">
        <x:f>H56-F56</x:f>
        <x:v>5</x:v>
      </x:c>
    </x:row>
    <x:row r="57">
      <x:c r="A57" s="1" t="str">
        <x:v>PO0056</x:v>
      </x:c>
      <x:c r="B57" s="1" t="str">
        <x:v>SUP05</x:v>
      </x:c>
      <x:c r="C57" s="1" t="str">
        <x:v>Chile</x:v>
      </x:c>
      <x:c r="D57" s="1" t="str">
        <x:v>Ingredients</x:v>
      </x:c>
      <x:c r="E57" s="1" t="str">
        <x:v>Buyer 4</x:v>
      </x:c>
      <x:c r="F57" s="5" t="n">
        <x:v>46181</x:v>
      </x:c>
      <x:c r="G57" s="5" t="n">
        <x:v>46182</x:v>
      </x:c>
      <x:c r="H57" s="5" t="n">
        <x:v>46182</x:v>
      </x:c>
      <x:c r="I57" s="5" t="n">
        <x:v>46190</x:v>
      </x:c>
      <x:c r="J57" s="1" t="n">
        <x:v>4676</x:v>
      </x:c>
      <x:c r="K57" s="6" t="n">
        <x:v>18.99</x:v>
      </x:c>
      <x:c r="L57" s="10" t="n">
        <x:f>J57*K57</x:f>
        <x:v>88797.23999999999</x:v>
      </x:c>
      <x:c r="M57" t="n">
        <x:f>G57-F57</x:f>
        <x:v>1</x:v>
      </x:c>
      <x:c r="N57" t="n">
        <x:f>H57-F57</x:f>
        <x:v>1</x:v>
      </x:c>
    </x:row>
    <x:row r="58">
      <x:c r="A58" s="1" t="str">
        <x:v>PO0057</x:v>
      </x:c>
      <x:c r="B58" s="1" t="str">
        <x:v>SUP12</x:v>
      </x:c>
      <x:c r="C58" s="1" t="str">
        <x:v>Panama</x:v>
      </x:c>
      <x:c r="D58" s="1" t="str">
        <x:v>Maintenance services</x:v>
      </x:c>
      <x:c r="E58" s="1" t="str">
        <x:v>Buyer 1</x:v>
      </x:c>
      <x:c r="F58" s="5" t="n">
        <x:v>46058</x:v>
      </x:c>
      <x:c r="G58" s="5" t="n">
        <x:v>46063</x:v>
      </x:c>
      <x:c r="H58" s="5" t="n">
        <x:v>46063</x:v>
      </x:c>
      <x:c r="I58" s="5" t="n">
        <x:v>46074</x:v>
      </x:c>
      <x:c r="J58" s="1" t="n">
        <x:v>4173</x:v>
      </x:c>
      <x:c r="K58" s="6" t="n">
        <x:v>13.66</x:v>
      </x:c>
      <x:c r="L58" s="10" t="n">
        <x:f>J58*K58</x:f>
        <x:v>57003.18</x:v>
      </x:c>
      <x:c r="M58" t="n">
        <x:f>G58-F58</x:f>
        <x:v>5</x:v>
      </x:c>
      <x:c r="N58" t="n">
        <x:f>H58-F58</x:f>
        <x:v>5</x:v>
      </x:c>
    </x:row>
    <x:row r="59">
      <x:c r="A59" s="1" t="str">
        <x:v>PO0058</x:v>
      </x:c>
      <x:c r="B59" s="1" t="str">
        <x:v>SUP06</x:v>
      </x:c>
      <x:c r="C59" s="1" t="str">
        <x:v>Mexico</x:v>
      </x:c>
      <x:c r="D59" s="1" t="str">
        <x:v>Maintenance services</x:v>
      </x:c>
      <x:c r="E59" s="1" t="str">
        <x:v>Buyer 2</x:v>
      </x:c>
      <x:c r="F59" s="5" t="n">
        <x:v>46082</x:v>
      </x:c>
      <x:c r="G59" s="5" t="n">
        <x:v>46084</x:v>
      </x:c>
      <x:c r="H59" s="5" t="n">
        <x:v>46085</x:v>
      </x:c>
      <x:c r="I59" s="5" t="n">
        <x:v>46101</x:v>
      </x:c>
      <x:c r="J59" s="1" t="n">
        <x:v>1548</x:v>
      </x:c>
      <x:c r="K59" s="6" t="n">
        <x:v>18.11</x:v>
      </x:c>
      <x:c r="L59" s="10" t="n">
        <x:f>J59*K59</x:f>
        <x:v>28034.28</x:v>
      </x:c>
      <x:c r="M59" t="n">
        <x:f>G59-F59</x:f>
        <x:v>2</x:v>
      </x:c>
      <x:c r="N59" t="n">
        <x:f>H59-F59</x:f>
        <x:v>3</x:v>
      </x:c>
    </x:row>
    <x:row r="60">
      <x:c r="A60" s="1" t="str">
        <x:v>PO0059</x:v>
      </x:c>
      <x:c r="B60" s="1" t="str">
        <x:v>SUP07</x:v>
      </x:c>
      <x:c r="C60" s="1" t="str">
        <x:v>Colombia</x:v>
      </x:c>
      <x:c r="D60" s="1" t="str">
        <x:v>Packaging</x:v>
      </x:c>
      <x:c r="E60" s="1" t="str">
        <x:v>Buyer 3</x:v>
      </x:c>
      <x:c r="F60" s="5" t="n">
        <x:v>46146</x:v>
      </x:c>
      <x:c r="G60" s="5" t="n">
        <x:v>46150</x:v>
      </x:c>
      <x:c r="H60" s="5" t="n">
        <x:v>46151</x:v>
      </x:c>
      <x:c r="I60" s="5" t="n">
        <x:v>46164</x:v>
      </x:c>
      <x:c r="J60" s="1" t="n">
        <x:v>3831</x:v>
      </x:c>
      <x:c r="K60" s="6" t="n">
        <x:v>21.21</x:v>
      </x:c>
      <x:c r="L60" s="10" t="n">
        <x:f>J60*K60</x:f>
        <x:v>81255.51000000001</x:v>
      </x:c>
      <x:c r="M60" t="n">
        <x:f>G60-F60</x:f>
        <x:v>4</x:v>
      </x:c>
      <x:c r="N60" t="n">
        <x:f>H60-F60</x:f>
        <x:v>5</x:v>
      </x:c>
    </x:row>
    <x:row r="61">
      <x:c r="A61" s="1" t="str">
        <x:v>PO0060</x:v>
      </x:c>
      <x:c r="B61" s="1" t="str">
        <x:v>SUP11</x:v>
      </x:c>
      <x:c r="C61" s="1" t="str">
        <x:v>Costa Rica</x:v>
      </x:c>
      <x:c r="D61" s="1" t="str">
        <x:v>Ingredients</x:v>
      </x:c>
      <x:c r="E61" s="1" t="str">
        <x:v>Buyer 4</x:v>
      </x:c>
      <x:c r="F61" s="5" t="n">
        <x:v>46030</x:v>
      </x:c>
      <x:c r="G61" s="5" t="n">
        <x:v>46034</x:v>
      </x:c>
      <x:c r="H61" s="5" t="n">
        <x:v>46034</x:v>
      </x:c>
      <x:c r="I61" s="5" t="n">
        <x:v>46058</x:v>
      </x:c>
      <x:c r="J61" s="1" t="n">
        <x:v>3999</x:v>
      </x:c>
      <x:c r="K61" s="6" t="n">
        <x:v>16.73</x:v>
      </x:c>
      <x:c r="L61" s="10" t="n">
        <x:f>J61*K61</x:f>
        <x:v>66903.27</x:v>
      </x:c>
      <x:c r="M61" t="n">
        <x:f>G61-F61</x:f>
        <x:v>4</x:v>
      </x:c>
      <x:c r="N61" t="n">
        <x:f>H61-F61</x:f>
        <x:v>4</x:v>
      </x:c>
    </x:row>
    <x:row r="62">
      <x:c r="A62" s="1" t="str">
        <x:v>PO0061</x:v>
      </x:c>
      <x:c r="B62" s="1" t="str">
        <x:v>SUP13</x:v>
      </x:c>
      <x:c r="C62" s="1" t="str">
        <x:v>Guatemala</x:v>
      </x:c>
      <x:c r="D62" s="1" t="str">
        <x:v>Packaging</x:v>
      </x:c>
      <x:c r="E62" s="1" t="str">
        <x:v>Buyer 1</x:v>
      </x:c>
      <x:c r="F62" s="5" t="n">
        <x:v>46192</x:v>
      </x:c>
      <x:c r="G62" s="5" t="n">
        <x:v>46195</x:v>
      </x:c>
      <x:c r="H62" s="5" t="n">
        <x:v>46196</x:v>
      </x:c>
      <x:c r="I62" s="5" t="n">
        <x:v>46220</x:v>
      </x:c>
      <x:c r="J62" s="1" t="n">
        <x:v>1290</x:v>
      </x:c>
      <x:c r="K62" s="6" t="n">
        <x:v>11.6</x:v>
      </x:c>
      <x:c r="L62" s="10" t="n">
        <x:f>J62*K62</x:f>
        <x:v>14964</x:v>
      </x:c>
      <x:c r="M62" t="n">
        <x:f>G62-F62</x:f>
        <x:v>3</x:v>
      </x:c>
      <x:c r="N62" t="n">
        <x:f>H62-F62</x:f>
        <x:v>4</x:v>
      </x:c>
    </x:row>
    <x:row r="63">
      <x:c r="A63" s="1" t="str">
        <x:v>PO0062</x:v>
      </x:c>
      <x:c r="B63" s="1" t="str">
        <x:v>SUP12</x:v>
      </x:c>
      <x:c r="C63" s="1" t="str">
        <x:v>Peru</x:v>
      </x:c>
      <x:c r="D63" s="1" t="str">
        <x:v>Maintenance services</x:v>
      </x:c>
      <x:c r="E63" s="1" t="str">
        <x:v>Buyer 2</x:v>
      </x:c>
      <x:c r="F63" s="5" t="n">
        <x:v>46123</x:v>
      </x:c>
      <x:c r="G63" s="5" t="n">
        <x:v>46128</x:v>
      </x:c>
      <x:c r="H63" s="5" t="n">
        <x:v>46130</x:v>
      </x:c>
      <x:c r="I63" s="5" t="n">
        <x:v>46155</x:v>
      </x:c>
      <x:c r="J63" s="1" t="n">
        <x:v>394</x:v>
      </x:c>
      <x:c r="K63" s="6" t="n">
        <x:v>18.63</x:v>
      </x:c>
      <x:c r="L63" s="10" t="n">
        <x:f>J63*K63</x:f>
        <x:v>7340.219999999999</x:v>
      </x:c>
      <x:c r="M63" t="n">
        <x:f>G63-F63</x:f>
        <x:v>5</x:v>
      </x:c>
      <x:c r="N63" t="n">
        <x:f>H63-F63</x:f>
        <x:v>7</x:v>
      </x:c>
    </x:row>
    <x:row r="64">
      <x:c r="A64" s="1" t="str">
        <x:v>PO0063</x:v>
      </x:c>
      <x:c r="B64" s="1" t="str">
        <x:v>SUP09</x:v>
      </x:c>
      <x:c r="C64" s="1" t="str">
        <x:v>Chile</x:v>
      </x:c>
      <x:c r="D64" s="1" t="str">
        <x:v>Maintenance services</x:v>
      </x:c>
      <x:c r="E64" s="1" t="str">
        <x:v>Buyer 3</x:v>
      </x:c>
      <x:c r="F64" s="5" t="n">
        <x:v>46209</x:v>
      </x:c>
      <x:c r="G64" s="5" t="n">
        <x:v>46212</x:v>
      </x:c>
      <x:c r="H64" s="5" t="n">
        <x:v>46213</x:v>
      </x:c>
      <x:c r="I64" s="5" t="n">
        <x:v>46231</x:v>
      </x:c>
      <x:c r="J64" s="1" t="n">
        <x:v>3086</x:v>
      </x:c>
      <x:c r="K64" s="6" t="n">
        <x:v>6.12</x:v>
      </x:c>
      <x:c r="L64" s="10" t="n">
        <x:f>J64*K64</x:f>
        <x:v>18886.32</x:v>
      </x:c>
      <x:c r="M64" t="n">
        <x:f>G64-F64</x:f>
        <x:v>3</x:v>
      </x:c>
      <x:c r="N64" t="n">
        <x:f>H64-F64</x:f>
        <x:v>4</x:v>
      </x:c>
    </x:row>
    <x:row r="65">
      <x:c r="A65" s="1" t="str">
        <x:v>PO0064</x:v>
      </x:c>
      <x:c r="B65" s="1" t="str">
        <x:v>SUP03</x:v>
      </x:c>
      <x:c r="C65" s="1" t="str">
        <x:v>Panama</x:v>
      </x:c>
      <x:c r="D65" s="1" t="str">
        <x:v>Maintenance services</x:v>
      </x:c>
      <x:c r="E65" s="1" t="str">
        <x:v>Buyer 4</x:v>
      </x:c>
      <x:c r="F65" s="5" t="n">
        <x:v>46255</x:v>
      </x:c>
      <x:c r="G65" s="5" t="n">
        <x:v>46256</x:v>
      </x:c>
      <x:c r="H65" s="5" t="n">
        <x:v>46258</x:v>
      </x:c>
      <x:c r="I65" s="5" t="n">
        <x:v>46277</x:v>
      </x:c>
      <x:c r="J65" s="1" t="n">
        <x:v>1222</x:v>
      </x:c>
      <x:c r="K65" s="6" t="n">
        <x:v>16.63</x:v>
      </x:c>
      <x:c r="L65" s="10" t="n">
        <x:f>J65*K65</x:f>
        <x:v>20321.86</x:v>
      </x:c>
      <x:c r="M65" t="n">
        <x:f>G65-F65</x:f>
        <x:v>1</x:v>
      </x:c>
      <x:c r="N65" t="n">
        <x:f>H65-F65</x:f>
        <x:v>3</x:v>
      </x:c>
    </x:row>
    <x:row r="66">
      <x:c r="A66" s="1" t="str">
        <x:v>PO0065</x:v>
      </x:c>
      <x:c r="B66" s="1" t="str">
        <x:v>SUP08</x:v>
      </x:c>
      <x:c r="C66" s="1" t="str">
        <x:v>Mexico</x:v>
      </x:c>
      <x:c r="D66" s="1" t="str">
        <x:v>Ingredients</x:v>
      </x:c>
      <x:c r="E66" s="1" t="str">
        <x:v>Buyer 1</x:v>
      </x:c>
      <x:c r="F66" s="5" t="n">
        <x:v>46041</x:v>
      </x:c>
      <x:c r="G66" s="5" t="n">
        <x:v>46045</x:v>
      </x:c>
      <x:c r="H66" s="5" t="n">
        <x:v>46046</x:v>
      </x:c>
      <x:c r="I66" s="5" t="n">
        <x:v>46060</x:v>
      </x:c>
      <x:c r="J66" s="1" t="n">
        <x:v>3642</x:v>
      </x:c>
      <x:c r="K66" s="6" t="n">
        <x:v>6.91</x:v>
      </x:c>
      <x:c r="L66" s="10" t="n">
        <x:f>J66*K66</x:f>
        <x:v>25166.22</x:v>
      </x:c>
      <x:c r="M66" t="n">
        <x:f>G66-F66</x:f>
        <x:v>4</x:v>
      </x:c>
      <x:c r="N66" t="n">
        <x:f>H66-F66</x:f>
        <x:v>5</x:v>
      </x:c>
    </x:row>
    <x:row r="67">
      <x:c r="A67" s="1" t="str">
        <x:v>PO0066</x:v>
      </x:c>
      <x:c r="B67" s="1" t="str">
        <x:v>SUP10</x:v>
      </x:c>
      <x:c r="C67" s="1" t="str">
        <x:v>Colombia</x:v>
      </x:c>
      <x:c r="D67" s="1" t="str">
        <x:v>Packaging</x:v>
      </x:c>
      <x:c r="E67" s="1" t="str">
        <x:v>Buyer 2</x:v>
      </x:c>
      <x:c r="F67" s="5" t="n">
        <x:v>46047</x:v>
      </x:c>
      <x:c r="G67" s="5" t="n">
        <x:v>46052</x:v>
      </x:c>
      <x:c r="H67" s="5" t="n">
        <x:v>46052</x:v>
      </x:c>
      <x:c r="I67" s="5" t="n">
        <x:v>46060</x:v>
      </x:c>
      <x:c r="J67" s="1" t="n">
        <x:v>312</x:v>
      </x:c>
      <x:c r="K67" s="6" t="n">
        <x:v>13.27</x:v>
      </x:c>
      <x:c r="L67" s="10" t="n">
        <x:f>J67*K67</x:f>
        <x:v>4140.24</x:v>
      </x:c>
      <x:c r="M67" t="n">
        <x:f>G67-F67</x:f>
        <x:v>5</x:v>
      </x:c>
      <x:c r="N67" t="n">
        <x:f>H67-F67</x:f>
        <x:v>5</x:v>
      </x:c>
    </x:row>
    <x:row r="68">
      <x:c r="A68" s="1" t="str">
        <x:v>PO0067</x:v>
      </x:c>
      <x:c r="B68" s="1" t="str">
        <x:v>SUP12</x:v>
      </x:c>
      <x:c r="C68" s="1" t="str">
        <x:v>Costa Rica</x:v>
      </x:c>
      <x:c r="D68" s="1" t="str">
        <x:v>Maintenance services</x:v>
      </x:c>
      <x:c r="E68" s="1" t="str">
        <x:v>Buyer 3</x:v>
      </x:c>
      <x:c r="F68" s="5" t="n">
        <x:v>46101</x:v>
      </x:c>
      <x:c r="G68" s="5" t="n">
        <x:v>46104</x:v>
      </x:c>
      <x:c r="H68" s="5" t="n">
        <x:v>46104</x:v>
      </x:c>
      <x:c r="I68" s="5" t="n">
        <x:v>46123</x:v>
      </x:c>
      <x:c r="J68" s="1" t="n">
        <x:v>598</x:v>
      </x:c>
      <x:c r="K68" s="6" t="n">
        <x:v>20.81</x:v>
      </x:c>
      <x:c r="L68" s="10" t="n">
        <x:f>J68*K68</x:f>
        <x:v>12444.38</x:v>
      </x:c>
      <x:c r="M68" t="n">
        <x:f>G68-F68</x:f>
        <x:v>3</x:v>
      </x:c>
      <x:c r="N68" t="n">
        <x:f>H68-F68</x:f>
        <x:v>3</x:v>
      </x:c>
    </x:row>
    <x:row r="69">
      <x:c r="A69" s="1" t="str">
        <x:v>PO0068</x:v>
      </x:c>
      <x:c r="B69" s="1" t="str">
        <x:v>SUP01</x:v>
      </x:c>
      <x:c r="C69" s="1" t="str">
        <x:v>Guatemala</x:v>
      </x:c>
      <x:c r="D69" s="1" t="str">
        <x:v>Packaging</x:v>
      </x:c>
      <x:c r="E69" s="1" t="str">
        <x:v>Buyer 4</x:v>
      </x:c>
      <x:c r="F69" s="5" t="n">
        <x:v>46098</x:v>
      </x:c>
      <x:c r="G69" s="5" t="n">
        <x:v>46101</x:v>
      </x:c>
      <x:c r="H69" s="5" t="n">
        <x:v>46101</x:v>
      </x:c>
      <x:c r="I69" s="5" t="n">
        <x:v>46114</x:v>
      </x:c>
      <x:c r="J69" s="1" t="n">
        <x:v>1090</x:v>
      </x:c>
      <x:c r="K69" s="6" t="n">
        <x:v>23.95</x:v>
      </x:c>
      <x:c r="L69" s="10" t="n">
        <x:f>J69*K69</x:f>
        <x:v>26105.5</x:v>
      </x:c>
      <x:c r="M69" t="n">
        <x:f>G69-F69</x:f>
        <x:v>3</x:v>
      </x:c>
      <x:c r="N69" t="n">
        <x:f>H69-F69</x:f>
        <x:v>3</x:v>
      </x:c>
    </x:row>
    <x:row r="70">
      <x:c r="A70" s="1" t="str">
        <x:v>PO0069</x:v>
      </x:c>
      <x:c r="B70" s="1" t="str">
        <x:v>SUP04</x:v>
      </x:c>
      <x:c r="C70" s="1" t="str">
        <x:v>Peru</x:v>
      </x:c>
      <x:c r="D70" s="1" t="str">
        <x:v>Packaging</x:v>
      </x:c>
      <x:c r="E70" s="1" t="str">
        <x:v>Buyer 1</x:v>
      </x:c>
      <x:c r="F70" s="5" t="n">
        <x:v>46107</x:v>
      </x:c>
      <x:c r="G70" s="5" t="n">
        <x:v>46108</x:v>
      </x:c>
      <x:c r="H70" s="5" t="n">
        <x:v>46109</x:v>
      </x:c>
      <x:c r="I70" s="5" t="n">
        <x:v>46130</x:v>
      </x:c>
      <x:c r="J70" s="1" t="n">
        <x:v>4585</x:v>
      </x:c>
      <x:c r="K70" s="6" t="n">
        <x:v>21.46</x:v>
      </x:c>
      <x:c r="L70" s="10" t="n">
        <x:f>J70*K70</x:f>
        <x:v>98394.1</x:v>
      </x:c>
      <x:c r="M70" t="n">
        <x:f>G70-F70</x:f>
        <x:v>1</x:v>
      </x:c>
      <x:c r="N70" t="n">
        <x:f>H70-F70</x:f>
        <x:v>2</x:v>
      </x:c>
    </x:row>
    <x:row r="71">
      <x:c r="A71" s="1" t="str">
        <x:v>PO0070</x:v>
      </x:c>
      <x:c r="B71" s="1" t="str">
        <x:v>SUP03</x:v>
      </x:c>
      <x:c r="C71" s="1" t="str">
        <x:v>Chile</x:v>
      </x:c>
      <x:c r="D71" s="1" t="str">
        <x:v>Maintenance services</x:v>
      </x:c>
      <x:c r="E71" s="1" t="str">
        <x:v>Buyer 2</x:v>
      </x:c>
      <x:c r="F71" s="5" t="n">
        <x:v>46235</x:v>
      </x:c>
      <x:c r="G71" s="5" t="n">
        <x:v>46241</x:v>
      </x:c>
      <x:c r="H71" s="5" t="n">
        <x:v>46241</x:v>
      </x:c>
      <x:c r="I71" s="5" t="n">
        <x:v>46252</x:v>
      </x:c>
      <x:c r="J71" s="1" t="n">
        <x:v>4669</x:v>
      </x:c>
      <x:c r="K71" s="6" t="n">
        <x:v>3.47</x:v>
      </x:c>
      <x:c r="L71" s="10" t="n">
        <x:f>J71*K71</x:f>
        <x:v>16201.43</x:v>
      </x:c>
      <x:c r="M71" t="n">
        <x:f>G71-F71</x:f>
        <x:v>6</x:v>
      </x:c>
      <x:c r="N71" t="n">
        <x:f>H71-F71</x:f>
        <x:v>6</x:v>
      </x:c>
    </x:row>
    <x:row r="72">
      <x:c r="A72" s="1" t="str">
        <x:v>PO0071</x:v>
      </x:c>
      <x:c r="B72" s="1" t="str">
        <x:v>SUP13</x:v>
      </x:c>
      <x:c r="C72" s="1" t="str">
        <x:v>Panama</x:v>
      </x:c>
      <x:c r="D72" s="1" t="str">
        <x:v>Packaging</x:v>
      </x:c>
      <x:c r="E72" s="1" t="str">
        <x:v>Buyer 3</x:v>
      </x:c>
      <x:c r="F72" s="5" t="n">
        <x:v>46089</x:v>
      </x:c>
      <x:c r="G72" s="5" t="n">
        <x:v>46093</x:v>
      </x:c>
      <x:c r="H72" s="5" t="n">
        <x:v>46094</x:v>
      </x:c>
      <x:c r="I72" s="5" t="n">
        <x:v>46112</x:v>
      </x:c>
      <x:c r="J72" s="1" t="n">
        <x:v>450</x:v>
      </x:c>
      <x:c r="K72" s="6" t="n">
        <x:v>11.41</x:v>
      </x:c>
      <x:c r="L72" s="10" t="n">
        <x:f>J72*K72</x:f>
        <x:v>5134.5</x:v>
      </x:c>
      <x:c r="M72" t="n">
        <x:f>G72-F72</x:f>
        <x:v>4</x:v>
      </x:c>
      <x:c r="N72" t="n">
        <x:f>H72-F72</x:f>
        <x:v>5</x:v>
      </x:c>
    </x:row>
    <x:row r="73">
      <x:c r="A73" s="1" t="str">
        <x:v>PO0072</x:v>
      </x:c>
      <x:c r="B73" s="1" t="str">
        <x:v>SUP05</x:v>
      </x:c>
      <x:c r="C73" s="1" t="str">
        <x:v>Mexico</x:v>
      </x:c>
      <x:c r="D73" s="1" t="str">
        <x:v>Ingredients</x:v>
      </x:c>
      <x:c r="E73" s="1" t="str">
        <x:v>Buyer 4</x:v>
      </x:c>
      <x:c r="F73" s="5" t="n">
        <x:v>46162</x:v>
      </x:c>
      <x:c r="G73" s="5" t="n">
        <x:v>46163</x:v>
      </x:c>
      <x:c r="H73" s="5" t="n">
        <x:v>46163</x:v>
      </x:c>
      <x:c r="I73" s="5" t="n">
        <x:v>46178</x:v>
      </x:c>
      <x:c r="J73" s="1" t="n">
        <x:v>4518</x:v>
      </x:c>
      <x:c r="K73" s="6" t="n">
        <x:v>20.92</x:v>
      </x:c>
      <x:c r="L73" s="10" t="n">
        <x:f>J73*K73</x:f>
        <x:v>94516.56000000001</x:v>
      </x:c>
      <x:c r="M73" t="n">
        <x:f>G73-F73</x:f>
        <x:v>1</x:v>
      </x:c>
      <x:c r="N73" t="n">
        <x:f>H73-F73</x:f>
        <x:v>1</x:v>
      </x:c>
    </x:row>
    <x:row r="74">
      <x:c r="A74" s="1" t="str">
        <x:v>PO0073</x:v>
      </x:c>
      <x:c r="B74" s="1" t="str">
        <x:v>SUP08</x:v>
      </x:c>
      <x:c r="C74" s="1" t="str">
        <x:v>Colombia</x:v>
      </x:c>
      <x:c r="D74" s="1" t="str">
        <x:v>Ingredients</x:v>
      </x:c>
      <x:c r="E74" s="1" t="str">
        <x:v>Buyer 1</x:v>
      </x:c>
      <x:c r="F74" s="5" t="n">
        <x:v>46186</x:v>
      </x:c>
      <x:c r="G74" s="5" t="n">
        <x:v>46191</x:v>
      </x:c>
      <x:c r="H74" s="5" t="n">
        <x:v>46191</x:v>
      </x:c>
      <x:c r="I74" s="5" t="n">
        <x:v>46198</x:v>
      </x:c>
      <x:c r="J74" s="1" t="n">
        <x:v>2619</x:v>
      </x:c>
      <x:c r="K74" s="6" t="n">
        <x:v>3.59</x:v>
      </x:c>
      <x:c r="L74" s="10" t="n">
        <x:f>J74*K74</x:f>
        <x:v>9402.21</x:v>
      </x:c>
      <x:c r="M74" t="n">
        <x:f>G74-F74</x:f>
        <x:v>5</x:v>
      </x:c>
      <x:c r="N74" t="n">
        <x:f>H74-F74</x:f>
        <x:v>5</x:v>
      </x:c>
    </x:row>
    <x:row r="75">
      <x:c r="A75" s="1" t="str">
        <x:v>PO0074</x:v>
      </x:c>
      <x:c r="B75" s="1" t="str">
        <x:v>SUP12</x:v>
      </x:c>
      <x:c r="C75" s="1" t="str">
        <x:v>Costa Rica</x:v>
      </x:c>
      <x:c r="D75" s="1" t="str">
        <x:v>Maintenance services</x:v>
      </x:c>
      <x:c r="E75" s="1" t="str">
        <x:v>Buyer 2</x:v>
      </x:c>
      <x:c r="F75" s="5" t="n">
        <x:v>46271</x:v>
      </x:c>
      <x:c r="G75" s="5" t="n">
        <x:v>46276</x:v>
      </x:c>
      <x:c r="H75" s="5" t="n">
        <x:v>46276</x:v>
      </x:c>
      <x:c r="I75" s="5" t="n">
        <x:v>46297</x:v>
      </x:c>
      <x:c r="J75" s="1" t="n">
        <x:v>4959</x:v>
      </x:c>
      <x:c r="K75" s="6" t="n">
        <x:v>1.87</x:v>
      </x:c>
      <x:c r="L75" s="10" t="n">
        <x:f>J75*K75</x:f>
        <x:v>9273.33</x:v>
      </x:c>
      <x:c r="M75" t="n">
        <x:f>G75-F75</x:f>
        <x:v>5</x:v>
      </x:c>
      <x:c r="N75" t="n">
        <x:f>H75-F75</x:f>
        <x:v>5</x:v>
      </x:c>
    </x:row>
    <x:row r="76">
      <x:c r="A76" s="1" t="str">
        <x:v>PO0075</x:v>
      </x:c>
      <x:c r="B76" s="1" t="str">
        <x:v>SUP08</x:v>
      </x:c>
      <x:c r="C76" s="1" t="str">
        <x:v>Guatemala</x:v>
      </x:c>
      <x:c r="D76" s="1" t="str">
        <x:v>Ingredients</x:v>
      </x:c>
      <x:c r="E76" s="1" t="str">
        <x:v>Buyer 3</x:v>
      </x:c>
      <x:c r="F76" s="5" t="n">
        <x:v>46211</x:v>
      </x:c>
      <x:c r="G76" s="5" t="n">
        <x:v>46212</x:v>
      </x:c>
      <x:c r="H76" s="5" t="n">
        <x:v>46214</x:v>
      </x:c>
      <x:c r="I76" s="5" t="n">
        <x:v>46224</x:v>
      </x:c>
      <x:c r="J76" s="1" t="n">
        <x:v>2458</x:v>
      </x:c>
      <x:c r="K76" s="6" t="n">
        <x:v>23.49</x:v>
      </x:c>
      <x:c r="L76" s="10" t="n">
        <x:f>J76*K76</x:f>
        <x:v>57738.42</x:v>
      </x:c>
      <x:c r="M76" t="n">
        <x:f>G76-F76</x:f>
        <x:v>1</x:v>
      </x:c>
      <x:c r="N76" t="n">
        <x:f>H76-F76</x:f>
        <x:v>3</x:v>
      </x:c>
    </x:row>
    <x:row r="77">
      <x:c r="A77" s="1" t="str">
        <x:v>PO0076</x:v>
      </x:c>
      <x:c r="B77" s="1" t="str">
        <x:v>SUP13</x:v>
      </x:c>
      <x:c r="C77" s="1" t="str">
        <x:v>Peru</x:v>
      </x:c>
      <x:c r="D77" s="1" t="str">
        <x:v>Packaging</x:v>
      </x:c>
      <x:c r="E77" s="1" t="str">
        <x:v>Buyer 4</x:v>
      </x:c>
      <x:c r="F77" s="5" t="n">
        <x:v>46117</x:v>
      </x:c>
      <x:c r="G77" s="5" t="n">
        <x:v>46121</x:v>
      </x:c>
      <x:c r="H77" s="5" t="n">
        <x:v>46122</x:v>
      </x:c>
      <x:c r="I77" s="5" t="n">
        <x:v>46136</x:v>
      </x:c>
      <x:c r="J77" s="1" t="n">
        <x:v>3909</x:v>
      </x:c>
      <x:c r="K77" s="6" t="n">
        <x:v>12.19</x:v>
      </x:c>
      <x:c r="L77" s="10" t="n">
        <x:f>J77*K77</x:f>
        <x:v>47650.71</x:v>
      </x:c>
      <x:c r="M77" t="n">
        <x:f>G77-F77</x:f>
        <x:v>4</x:v>
      </x:c>
      <x:c r="N77" t="n">
        <x:f>H77-F77</x:f>
        <x:v>5</x:v>
      </x:c>
    </x:row>
    <x:row r="78">
      <x:c r="A78" s="1" t="str">
        <x:v>PO0077</x:v>
      </x:c>
      <x:c r="B78" s="1" t="str">
        <x:v>SUP03</x:v>
      </x:c>
      <x:c r="C78" s="1" t="str">
        <x:v>Chile</x:v>
      </x:c>
      <x:c r="D78" s="1" t="str">
        <x:v>Maintenance services</x:v>
      </x:c>
      <x:c r="E78" s="1" t="str">
        <x:v>Buyer 1</x:v>
      </x:c>
      <x:c r="F78" s="5" t="n">
        <x:v>46085</x:v>
      </x:c>
      <x:c r="G78" s="5" t="n">
        <x:v>46086</x:v>
      </x:c>
      <x:c r="H78" s="5" t="n">
        <x:v>46087</x:v>
      </x:c>
      <x:c r="I78" s="5" t="n">
        <x:v>46101</x:v>
      </x:c>
      <x:c r="J78" s="1" t="n">
        <x:v>2800</x:v>
      </x:c>
      <x:c r="K78" s="6" t="n">
        <x:v>20.51</x:v>
      </x:c>
      <x:c r="L78" s="10" t="n">
        <x:f>J78*K78</x:f>
        <x:v>57428.00000000001</x:v>
      </x:c>
      <x:c r="M78" t="n">
        <x:f>G78-F78</x:f>
        <x:v>1</x:v>
      </x:c>
      <x:c r="N78" t="n">
        <x:f>H78-F78</x:f>
        <x:v>2</x:v>
      </x:c>
    </x:row>
    <x:row r="79">
      <x:c r="A79" s="1" t="str">
        <x:v>PO0078</x:v>
      </x:c>
      <x:c r="B79" s="1" t="str">
        <x:v>SUP10</x:v>
      </x:c>
      <x:c r="C79" s="1" t="str">
        <x:v>Panama</x:v>
      </x:c>
      <x:c r="D79" s="1" t="str">
        <x:v>Packaging</x:v>
      </x:c>
      <x:c r="E79" s="1" t="str">
        <x:v>Buyer 2</x:v>
      </x:c>
      <x:c r="F79" s="5" t="n">
        <x:v>46027</x:v>
      </x:c>
      <x:c r="G79" s="5" t="n">
        <x:v>46030</x:v>
      </x:c>
      <x:c r="H79" s="5" t="n">
        <x:v>46032</x:v>
      </x:c>
      <x:c r="I79" s="5" t="n">
        <x:v>46052</x:v>
      </x:c>
      <x:c r="J79" s="1" t="n">
        <x:v>1111</x:v>
      </x:c>
      <x:c r="K79" s="6" t="n">
        <x:v>10.45</x:v>
      </x:c>
      <x:c r="L79" s="10" t="n">
        <x:f>J79*K79</x:f>
        <x:v>11609.949999999999</x:v>
      </x:c>
      <x:c r="M79" t="n">
        <x:f>G79-F79</x:f>
        <x:v>3</x:v>
      </x:c>
      <x:c r="N79" t="n">
        <x:f>H79-F79</x:f>
        <x:v>5</x:v>
      </x:c>
    </x:row>
    <x:row r="80">
      <x:c r="A80" s="1" t="str">
        <x:v>PO0079</x:v>
      </x:c>
      <x:c r="B80" s="1" t="str">
        <x:v>SUP14</x:v>
      </x:c>
      <x:c r="C80" s="1" t="str">
        <x:v>Mexico</x:v>
      </x:c>
      <x:c r="D80" s="1" t="str">
        <x:v>Ingredients</x:v>
      </x:c>
      <x:c r="E80" s="1" t="str">
        <x:v>Buyer 3</x:v>
      </x:c>
      <x:c r="F80" s="5" t="n">
        <x:v>46230</x:v>
      </x:c>
      <x:c r="G80" s="5" t="n">
        <x:v>46233</x:v>
      </x:c>
      <x:c r="H80" s="5" t="n">
        <x:v>46233</x:v>
      </x:c>
      <x:c r="I80" s="5" t="n">
        <x:v>46248</x:v>
      </x:c>
      <x:c r="J80" s="1" t="n">
        <x:v>2934</x:v>
      </x:c>
      <x:c r="K80" s="6" t="n">
        <x:v>15.43</x:v>
      </x:c>
      <x:c r="L80" s="10" t="n">
        <x:f>J80*K80</x:f>
        <x:v>45271.62</x:v>
      </x:c>
      <x:c r="M80" t="n">
        <x:f>G80-F80</x:f>
        <x:v>3</x:v>
      </x:c>
      <x:c r="N80" t="n">
        <x:f>H80-F80</x:f>
        <x:v>3</x:v>
      </x:c>
    </x:row>
    <x:row r="81">
      <x:c r="A81" s="1" t="str">
        <x:v>PO0080</x:v>
      </x:c>
      <x:c r="B81" s="1" t="str">
        <x:v>SUP05</x:v>
      </x:c>
      <x:c r="C81" s="1" t="str">
        <x:v>Colombia</x:v>
      </x:c>
      <x:c r="D81" s="1" t="str">
        <x:v>Ingredients</x:v>
      </x:c>
      <x:c r="E81" s="1" t="str">
        <x:v>Buyer 4</x:v>
      </x:c>
      <x:c r="F81" s="5" t="n">
        <x:v>46082</x:v>
      </x:c>
      <x:c r="G81" s="5" t="n">
        <x:v>46084</x:v>
      </x:c>
      <x:c r="H81" s="5" t="n">
        <x:v>46084</x:v>
      </x:c>
      <x:c r="I81" s="5" t="n">
        <x:v>46098</x:v>
      </x:c>
      <x:c r="J81" s="1" t="n">
        <x:v>4324</x:v>
      </x:c>
      <x:c r="K81" s="6" t="n">
        <x:v>16.5</x:v>
      </x:c>
      <x:c r="L81" s="10" t="n">
        <x:f>J81*K81</x:f>
        <x:v>71346</x:v>
      </x:c>
      <x:c r="M81" t="n">
        <x:f>G81-F81</x:f>
        <x:v>2</x:v>
      </x:c>
      <x:c r="N81" t="n">
        <x:f>H81-F81</x:f>
        <x:v>2</x:v>
      </x:c>
    </x:row>
    <x:row r="82">
      <x:c r="A82" s="1" t="str">
        <x:v>PO0081</x:v>
      </x:c>
      <x:c r="B82" s="1" t="str">
        <x:v>SUP10</x:v>
      </x:c>
      <x:c r="C82" s="1" t="str">
        <x:v>Costa Rica</x:v>
      </x:c>
      <x:c r="D82" s="1" t="str">
        <x:v>Packaging</x:v>
      </x:c>
      <x:c r="E82" s="1" t="str">
        <x:v>Buyer 1</x:v>
      </x:c>
      <x:c r="F82" s="5" t="n">
        <x:v>46128</x:v>
      </x:c>
      <x:c r="G82" s="5" t="n">
        <x:v>46133</x:v>
      </x:c>
      <x:c r="H82" s="5" t="n">
        <x:v>46134</x:v>
      </x:c>
      <x:c r="I82" s="5" t="n">
        <x:v>46154</x:v>
      </x:c>
      <x:c r="J82" s="1" t="n">
        <x:v>2910</x:v>
      </x:c>
      <x:c r="K82" s="6" t="n">
        <x:v>9.41</x:v>
      </x:c>
      <x:c r="L82" s="10" t="n">
        <x:f>J82*K82</x:f>
        <x:v>27383.100000000002</x:v>
      </x:c>
      <x:c r="M82" t="n">
        <x:f>G82-F82</x:f>
        <x:v>5</x:v>
      </x:c>
      <x:c r="N82" t="n">
        <x:f>H82-F82</x:f>
        <x:v>6</x:v>
      </x:c>
    </x:row>
    <x:row r="83">
      <x:c r="A83" s="1" t="str">
        <x:v>PO0082</x:v>
      </x:c>
      <x:c r="B83" s="1" t="str">
        <x:v>SUP01</x:v>
      </x:c>
      <x:c r="C83" s="1" t="str">
        <x:v>Guatemala</x:v>
      </x:c>
      <x:c r="D83" s="1" t="str">
        <x:v>Packaging</x:v>
      </x:c>
      <x:c r="E83" s="1" t="str">
        <x:v>Buyer 2</x:v>
      </x:c>
      <x:c r="F83" s="5" t="n">
        <x:v>46083</x:v>
      </x:c>
      <x:c r="G83" s="5" t="n">
        <x:v>46085</x:v>
      </x:c>
      <x:c r="H83" s="5" t="n">
        <x:v>46087</x:v>
      </x:c>
      <x:c r="I83" s="5" t="n">
        <x:v>46096</x:v>
      </x:c>
      <x:c r="J83" s="1" t="n">
        <x:v>1802</x:v>
      </x:c>
      <x:c r="K83" s="6" t="n">
        <x:v>24.52</x:v>
      </x:c>
      <x:c r="L83" s="10" t="n">
        <x:f>J83*K83</x:f>
        <x:v>44185.04</x:v>
      </x:c>
      <x:c r="M83" t="n">
        <x:f>G83-F83</x:f>
        <x:v>2</x:v>
      </x:c>
      <x:c r="N83" t="n">
        <x:f>H83-F83</x:f>
        <x:v>4</x:v>
      </x:c>
    </x:row>
    <x:row r="84">
      <x:c r="A84" s="1" t="str">
        <x:v>PO0083</x:v>
      </x:c>
      <x:c r="B84" s="1" t="str">
        <x:v>SUP03</x:v>
      </x:c>
      <x:c r="C84" s="1" t="str">
        <x:v>Peru</x:v>
      </x:c>
      <x:c r="D84" s="1" t="str">
        <x:v>Maintenance services</x:v>
      </x:c>
      <x:c r="E84" s="1" t="str">
        <x:v>Buyer 3</x:v>
      </x:c>
      <x:c r="F84" s="5" t="n">
        <x:v>46264</x:v>
      </x:c>
      <x:c r="G84" s="5" t="n">
        <x:v>46275</x:v>
      </x:c>
      <x:c r="H84" s="5" t="n">
        <x:v>46275</x:v>
      </x:c>
      <x:c r="I84" s="5" t="n">
        <x:v>46295</x:v>
      </x:c>
      <x:c r="J84" s="1" t="n">
        <x:v>4312</x:v>
      </x:c>
      <x:c r="K84" s="6" t="n">
        <x:v>15.68</x:v>
      </x:c>
      <x:c r="L84" s="10" t="n">
        <x:f>J84*K84</x:f>
        <x:v>67612.16</x:v>
      </x:c>
      <x:c r="M84" t="n">
        <x:f>G84-F84</x:f>
        <x:v>11</x:v>
      </x:c>
      <x:c r="N84" t="n">
        <x:f>H84-F84</x:f>
        <x:v>11</x:v>
      </x:c>
    </x:row>
    <x:row r="85">
      <x:c r="A85" s="1" t="str">
        <x:v>PO0084</x:v>
      </x:c>
      <x:c r="B85" s="1" t="str">
        <x:v>SUP09</x:v>
      </x:c>
      <x:c r="C85" s="1" t="str">
        <x:v>Chile</x:v>
      </x:c>
      <x:c r="D85" s="1" t="str">
        <x:v>Maintenance services</x:v>
      </x:c>
      <x:c r="E85" s="1" t="str">
        <x:v>Buyer 4</x:v>
      </x:c>
      <x:c r="F85" s="5" t="n">
        <x:v>46123</x:v>
      </x:c>
      <x:c r="G85" s="5" t="n">
        <x:v>46124</x:v>
      </x:c>
      <x:c r="H85" s="5" t="n">
        <x:v>46126</x:v>
      </x:c>
      <x:c r="I85" s="5" t="n">
        <x:v>46133</x:v>
      </x:c>
      <x:c r="J85" s="1" t="n">
        <x:v>2875</x:v>
      </x:c>
      <x:c r="K85" s="6" t="n">
        <x:v>7.67</x:v>
      </x:c>
      <x:c r="L85" s="10" t="n">
        <x:f>J85*K85</x:f>
        <x:v>22051.25</x:v>
      </x:c>
      <x:c r="M85" t="n">
        <x:f>G85-F85</x:f>
        <x:v>1</x:v>
      </x:c>
      <x:c r="N85" t="n">
        <x:f>H85-F85</x:f>
        <x:v>3</x:v>
      </x:c>
    </x:row>
    <x:row r="86">
      <x:c r="A86" s="1" t="str">
        <x:v>PO0085</x:v>
      </x:c>
      <x:c r="B86" s="1" t="str">
        <x:v>SUP01</x:v>
      </x:c>
      <x:c r="C86" s="1" t="str">
        <x:v>Panama</x:v>
      </x:c>
      <x:c r="D86" s="1" t="str">
        <x:v>Packaging</x:v>
      </x:c>
      <x:c r="E86" s="1" t="str">
        <x:v>Buyer 1</x:v>
      </x:c>
      <x:c r="F86" s="5" t="n">
        <x:v>46235</x:v>
      </x:c>
      <x:c r="G86" s="5" t="n">
        <x:v>46238</x:v>
      </x:c>
      <x:c r="H86" s="5" t="n">
        <x:v>46239</x:v>
      </x:c>
      <x:c r="I86" s="5" t="n">
        <x:v>46262</x:v>
      </x:c>
      <x:c r="J86" s="1" t="n">
        <x:v>3428</x:v>
      </x:c>
      <x:c r="K86" s="6" t="n">
        <x:v>6.83</x:v>
      </x:c>
      <x:c r="L86" s="10" t="n">
        <x:f>J86*K86</x:f>
        <x:v>23413.24</x:v>
      </x:c>
      <x:c r="M86" t="n">
        <x:f>G86-F86</x:f>
        <x:v>3</x:v>
      </x:c>
      <x:c r="N86" t="n">
        <x:f>H86-F86</x:f>
        <x:v>4</x:v>
      </x:c>
    </x:row>
    <x:row r="87">
      <x:c r="A87" s="1" t="str">
        <x:v>PO0086</x:v>
      </x:c>
      <x:c r="B87" s="1" t="str">
        <x:v>SUP08</x:v>
      </x:c>
      <x:c r="C87" s="1" t="str">
        <x:v>Mexico</x:v>
      </x:c>
      <x:c r="D87" s="1" t="str">
        <x:v>Ingredients</x:v>
      </x:c>
      <x:c r="E87" s="1" t="str">
        <x:v>Buyer 2</x:v>
      </x:c>
      <x:c r="F87" s="5" t="n">
        <x:v>46191</x:v>
      </x:c>
      <x:c r="G87" s="5" t="n">
        <x:v>46196</x:v>
      </x:c>
      <x:c r="H87" s="5" t="n">
        <x:v>46198</x:v>
      </x:c>
      <x:c r="I87" s="5" t="n">
        <x:v>46220</x:v>
      </x:c>
      <x:c r="J87" s="1" t="n">
        <x:v>3263</x:v>
      </x:c>
      <x:c r="K87" s="6" t="n">
        <x:v>7.54</x:v>
      </x:c>
      <x:c r="L87" s="10" t="n">
        <x:f>J87*K87</x:f>
        <x:v>24603.02</x:v>
      </x:c>
      <x:c r="M87" t="n">
        <x:f>G87-F87</x:f>
        <x:v>5</x:v>
      </x:c>
      <x:c r="N87" t="n">
        <x:f>H87-F87</x:f>
        <x:v>7</x:v>
      </x:c>
    </x:row>
    <x:row r="88">
      <x:c r="A88" s="1" t="str">
        <x:v>PO0087</x:v>
      </x:c>
      <x:c r="B88" s="1" t="str">
        <x:v>SUP02</x:v>
      </x:c>
      <x:c r="C88" s="1" t="str">
        <x:v>Colombia</x:v>
      </x:c>
      <x:c r="D88" s="1" t="str">
        <x:v>Ingredients</x:v>
      </x:c>
      <x:c r="E88" s="1" t="str">
        <x:v>Buyer 3</x:v>
      </x:c>
      <x:c r="F88" s="5" t="n">
        <x:v>46100</x:v>
      </x:c>
      <x:c r="G88" s="5" t="n">
        <x:v>46103</x:v>
      </x:c>
      <x:c r="H88" s="5" t="n">
        <x:v>46103</x:v>
      </x:c>
      <x:c r="I88" s="5" t="n">
        <x:v>46118</x:v>
      </x:c>
      <x:c r="J88" s="1" t="n">
        <x:v>999</x:v>
      </x:c>
      <x:c r="K88" s="6" t="n">
        <x:v>16.25</x:v>
      </x:c>
      <x:c r="L88" s="10" t="n">
        <x:f>J88*K88</x:f>
        <x:v>16233.75</x:v>
      </x:c>
      <x:c r="M88" t="n">
        <x:f>G88-F88</x:f>
        <x:v>3</x:v>
      </x:c>
      <x:c r="N88" t="n">
        <x:f>H88-F88</x:f>
        <x:v>3</x:v>
      </x:c>
    </x:row>
    <x:row r="89">
      <x:c r="A89" s="1" t="str">
        <x:v>PO0088</x:v>
      </x:c>
      <x:c r="B89" s="1" t="str">
        <x:v>SUP08</x:v>
      </x:c>
      <x:c r="C89" s="1" t="str">
        <x:v>Costa Rica</x:v>
      </x:c>
      <x:c r="D89" s="1" t="str">
        <x:v>Ingredients</x:v>
      </x:c>
      <x:c r="E89" s="1" t="str">
        <x:v>Buyer 4</x:v>
      </x:c>
      <x:c r="F89" s="5" t="n">
        <x:v>46124</x:v>
      </x:c>
      <x:c r="G89" s="5" t="n">
        <x:v>46125</x:v>
      </x:c>
      <x:c r="H89" s="5" t="n">
        <x:v>46126</x:v>
      </x:c>
      <x:c r="I89" s="5" t="n">
        <x:v>46140</x:v>
      </x:c>
      <x:c r="J89" s="1" t="n">
        <x:v>4615</x:v>
      </x:c>
      <x:c r="K89" s="6" t="n">
        <x:v>11.31</x:v>
      </x:c>
      <x:c r="L89" s="10" t="n">
        <x:f>J89*K89</x:f>
        <x:v>52195.65</x:v>
      </x:c>
      <x:c r="M89" t="n">
        <x:f>G89-F89</x:f>
        <x:v>1</x:v>
      </x:c>
      <x:c r="N89" t="n">
        <x:f>H89-F89</x:f>
        <x:v>2</x:v>
      </x:c>
    </x:row>
    <x:row r="90">
      <x:c r="A90" s="1" t="str">
        <x:v>PO0089</x:v>
      </x:c>
      <x:c r="B90" s="1" t="str">
        <x:v>SUP12</x:v>
      </x:c>
      <x:c r="C90" s="1" t="str">
        <x:v>Guatemala</x:v>
      </x:c>
      <x:c r="D90" s="1" t="str">
        <x:v>Maintenance services</x:v>
      </x:c>
      <x:c r="E90" s="1" t="str">
        <x:v>Buyer 1</x:v>
      </x:c>
      <x:c r="F90" s="5" t="n">
        <x:v>46236</x:v>
      </x:c>
      <x:c r="G90" s="5" t="n">
        <x:v>46238</x:v>
      </x:c>
      <x:c r="H90" s="5" t="n">
        <x:v>46238</x:v>
      </x:c>
      <x:c r="I90" s="5" t="n">
        <x:v>46245</x:v>
      </x:c>
      <x:c r="J90" s="1" t="n">
        <x:v>4679</x:v>
      </x:c>
      <x:c r="K90" s="6" t="n">
        <x:v>3.56</x:v>
      </x:c>
      <x:c r="L90" s="10" t="n">
        <x:f>J90*K90</x:f>
        <x:v>16657.24</x:v>
      </x:c>
      <x:c r="M90" t="n">
        <x:f>G90-F90</x:f>
        <x:v>2</x:v>
      </x:c>
      <x:c r="N90" t="n">
        <x:f>H90-F90</x:f>
        <x:v>2</x:v>
      </x:c>
    </x:row>
    <x:row r="91">
      <x:c r="A91" s="1" t="str">
        <x:v>PO0090</x:v>
      </x:c>
      <x:c r="B91" s="1" t="str">
        <x:v>SUP05</x:v>
      </x:c>
      <x:c r="C91" s="1" t="str">
        <x:v>Peru</x:v>
      </x:c>
      <x:c r="D91" s="1" t="str">
        <x:v>Ingredients</x:v>
      </x:c>
      <x:c r="E91" s="1" t="str">
        <x:v>Buyer 2</x:v>
      </x:c>
      <x:c r="F91" s="5" t="n">
        <x:v>46156</x:v>
      </x:c>
      <x:c r="G91" s="5" t="n">
        <x:v>46158</x:v>
      </x:c>
      <x:c r="H91" s="5" t="n">
        <x:v>46158</x:v>
      </x:c>
      <x:c r="I91" s="5" t="n">
        <x:v>46180</x:v>
      </x:c>
      <x:c r="J91" s="1" t="n">
        <x:v>3674</x:v>
      </x:c>
      <x:c r="K91" s="6" t="n">
        <x:v>8.12</x:v>
      </x:c>
      <x:c r="L91" s="10" t="n">
        <x:f>J91*K91</x:f>
        <x:v>29832.879999999997</x:v>
      </x:c>
      <x:c r="M91" t="n">
        <x:f>G91-F91</x:f>
        <x:v>2</x:v>
      </x:c>
      <x:c r="N91" t="n">
        <x:f>H91-F91</x:f>
        <x:v>2</x:v>
      </x:c>
    </x:row>
    <x:row r="92">
      <x:c r="A92" s="1" t="str">
        <x:v>PO0091</x:v>
      </x:c>
      <x:c r="B92" s="1" t="str">
        <x:v>SUP04</x:v>
      </x:c>
      <x:c r="C92" s="1" t="str">
        <x:v>Chile</x:v>
      </x:c>
      <x:c r="D92" s="1" t="str">
        <x:v>Packaging</x:v>
      </x:c>
      <x:c r="E92" s="1" t="str">
        <x:v>Buyer 3</x:v>
      </x:c>
      <x:c r="F92" s="5" t="n">
        <x:v>46243</x:v>
      </x:c>
      <x:c r="G92" s="5" t="n">
        <x:v>46247</x:v>
      </x:c>
      <x:c r="H92" s="5" t="n">
        <x:v>46248</x:v>
      </x:c>
      <x:c r="I92" s="5" t="n">
        <x:v>46257</x:v>
      </x:c>
      <x:c r="J92" s="1" t="n">
        <x:v>2411</x:v>
      </x:c>
      <x:c r="K92" s="6" t="n">
        <x:v>7.96</x:v>
      </x:c>
      <x:c r="L92" s="10" t="n">
        <x:f>J92*K92</x:f>
        <x:v>19191.56</x:v>
      </x:c>
      <x:c r="M92" t="n">
        <x:f>G92-F92</x:f>
        <x:v>4</x:v>
      </x:c>
      <x:c r="N92" t="n">
        <x:f>H92-F92</x:f>
        <x:v>5</x:v>
      </x:c>
    </x:row>
    <x:row r="93">
      <x:c r="A93" s="1" t="str">
        <x:v>PO0092</x:v>
      </x:c>
      <x:c r="B93" s="1" t="str">
        <x:v>SUP14</x:v>
      </x:c>
      <x:c r="C93" s="1" t="str">
        <x:v>Panama</x:v>
      </x:c>
      <x:c r="D93" s="1" t="str">
        <x:v>Ingredients</x:v>
      </x:c>
      <x:c r="E93" s="1" t="str">
        <x:v>Buyer 4</x:v>
      </x:c>
      <x:c r="F93" s="5" t="n">
        <x:v>46082</x:v>
      </x:c>
      <x:c r="G93" s="5" t="n">
        <x:v>46083</x:v>
      </x:c>
      <x:c r="H93" s="5" t="n">
        <x:v>46085</x:v>
      </x:c>
      <x:c r="I93" s="5" t="n">
        <x:v>46093</x:v>
      </x:c>
      <x:c r="J93" s="1" t="n">
        <x:v>2565</x:v>
      </x:c>
      <x:c r="K93" s="6" t="n">
        <x:v>20.15</x:v>
      </x:c>
      <x:c r="L93" s="10" t="n">
        <x:f>J93*K93</x:f>
        <x:v>51684.74999999999</x:v>
      </x:c>
      <x:c r="M93" t="n">
        <x:f>G93-F93</x:f>
        <x:v>1</x:v>
      </x:c>
      <x:c r="N93" t="n">
        <x:f>H93-F93</x:f>
        <x:v>3</x:v>
      </x:c>
    </x:row>
    <x:row r="94">
      <x:c r="A94" s="1" t="str">
        <x:v>PO0093</x:v>
      </x:c>
      <x:c r="B94" s="1" t="str">
        <x:v>SUP03</x:v>
      </x:c>
      <x:c r="C94" s="1" t="str">
        <x:v>Mexico</x:v>
      </x:c>
      <x:c r="D94" s="1" t="str">
        <x:v>Maintenance services</x:v>
      </x:c>
      <x:c r="E94" s="1" t="str">
        <x:v>Buyer 1</x:v>
      </x:c>
      <x:c r="F94" s="5" t="n">
        <x:v>46043</x:v>
      </x:c>
      <x:c r="G94" s="5" t="n">
        <x:v>46046</x:v>
      </x:c>
      <x:c r="H94" s="5" t="n">
        <x:v>46047</x:v>
      </x:c>
      <x:c r="I94" s="5" t="n">
        <x:v>46061</x:v>
      </x:c>
      <x:c r="J94" s="1" t="n">
        <x:v>2281</x:v>
      </x:c>
      <x:c r="K94" s="6" t="n">
        <x:v>21.01</x:v>
      </x:c>
      <x:c r="L94" s="10" t="n">
        <x:f>J94*K94</x:f>
        <x:v>47923.810000000005</x:v>
      </x:c>
      <x:c r="M94" t="n">
        <x:f>G94-F94</x:f>
        <x:v>3</x:v>
      </x:c>
      <x:c r="N94" t="n">
        <x:f>H94-F94</x:f>
        <x:v>4</x:v>
      </x:c>
    </x:row>
    <x:row r="95">
      <x:c r="A95" s="1" t="str">
        <x:v>PO0094</x:v>
      </x:c>
      <x:c r="B95" s="1" t="str">
        <x:v>SUP02</x:v>
      </x:c>
      <x:c r="C95" s="1" t="str">
        <x:v>Colombia</x:v>
      </x:c>
      <x:c r="D95" s="1" t="str">
        <x:v>Ingredients</x:v>
      </x:c>
      <x:c r="E95" s="1" t="str">
        <x:v>Buyer 2</x:v>
      </x:c>
      <x:c r="F95" s="5" t="n">
        <x:v>46109</x:v>
      </x:c>
      <x:c r="G95" s="5" t="n">
        <x:v>46114</x:v>
      </x:c>
      <x:c r="H95" s="5" t="n">
        <x:v>46116</x:v>
      </x:c>
      <x:c r="I95" s="5" t="n">
        <x:v>46128</x:v>
      </x:c>
      <x:c r="J95" s="1" t="n">
        <x:v>2245</x:v>
      </x:c>
      <x:c r="K95" s="6" t="n">
        <x:v>21.2</x:v>
      </x:c>
      <x:c r="L95" s="10" t="n">
        <x:f>J95*K95</x:f>
        <x:v>47594</x:v>
      </x:c>
      <x:c r="M95" t="n">
        <x:f>G95-F95</x:f>
        <x:v>5</x:v>
      </x:c>
      <x:c r="N95" t="n">
        <x:f>H95-F95</x:f>
        <x:v>7</x:v>
      </x:c>
    </x:row>
    <x:row r="96">
      <x:c r="A96" s="1" t="str">
        <x:v>PO0095</x:v>
      </x:c>
      <x:c r="B96" s="1" t="str">
        <x:v>SUP14</x:v>
      </x:c>
      <x:c r="C96" s="1" t="str">
        <x:v>Costa Rica</x:v>
      </x:c>
      <x:c r="D96" s="1" t="str">
        <x:v>Ingredients</x:v>
      </x:c>
      <x:c r="E96" s="1" t="str">
        <x:v>Buyer 3</x:v>
      </x:c>
      <x:c r="F96" s="5" t="n">
        <x:v>46099</x:v>
      </x:c>
      <x:c r="G96" s="5" t="n">
        <x:v>46102</x:v>
      </x:c>
      <x:c r="H96" s="5" t="n">
        <x:v>46104</x:v>
      </x:c>
      <x:c r="I96" s="5" t="n">
        <x:v>46127</x:v>
      </x:c>
      <x:c r="J96" s="1" t="n">
        <x:v>1606</x:v>
      </x:c>
      <x:c r="K96" s="6" t="n">
        <x:v>11.01</x:v>
      </x:c>
      <x:c r="L96" s="10" t="n">
        <x:f>J96*K96</x:f>
        <x:v>17682.06</x:v>
      </x:c>
      <x:c r="M96" t="n">
        <x:f>G96-F96</x:f>
        <x:v>3</x:v>
      </x:c>
      <x:c r="N96" t="n">
        <x:f>H96-F96</x:f>
        <x:v>5</x:v>
      </x:c>
    </x:row>
    <x:row r="97">
      <x:c r="A97" s="1" t="str">
        <x:v>PO0096</x:v>
      </x:c>
      <x:c r="B97" s="1" t="str">
        <x:v>SUP01</x:v>
      </x:c>
      <x:c r="C97" s="1" t="str">
        <x:v>Guatemala</x:v>
      </x:c>
      <x:c r="D97" s="1" t="str">
        <x:v>Packaging</x:v>
      </x:c>
      <x:c r="E97" s="1" t="str">
        <x:v>Buyer 4</x:v>
      </x:c>
      <x:c r="F97" s="5" t="n">
        <x:v>46061</x:v>
      </x:c>
      <x:c r="G97" s="5" t="n">
        <x:v>46066</x:v>
      </x:c>
      <x:c r="H97" s="5" t="n">
        <x:v>46068</x:v>
      </x:c>
      <x:c r="I97" s="5" t="n">
        <x:v>46077</x:v>
      </x:c>
      <x:c r="J97" s="1" t="n">
        <x:v>3596</x:v>
      </x:c>
      <x:c r="K97" s="6" t="n">
        <x:v>6.78</x:v>
      </x:c>
      <x:c r="L97" s="10" t="n">
        <x:f>J97*K97</x:f>
        <x:v>24380.88</x:v>
      </x:c>
      <x:c r="M97" t="n">
        <x:f>G97-F97</x:f>
        <x:v>5</x:v>
      </x:c>
      <x:c r="N97" t="n">
        <x:f>H97-F97</x:f>
        <x:v>7</x:v>
      </x:c>
    </x:row>
    <x:row r="98">
      <x:c r="A98" s="1" t="str">
        <x:v>PO0097</x:v>
      </x:c>
      <x:c r="B98" s="1" t="str">
        <x:v>SUP06</x:v>
      </x:c>
      <x:c r="C98" s="1" t="str">
        <x:v>Peru</x:v>
      </x:c>
      <x:c r="D98" s="1" t="str">
        <x:v>Maintenance services</x:v>
      </x:c>
      <x:c r="E98" s="1" t="str">
        <x:v>Buyer 1</x:v>
      </x:c>
      <x:c r="F98" s="5" t="n">
        <x:v>46236</x:v>
      </x:c>
      <x:c r="G98" s="5" t="n">
        <x:v>46239</x:v>
      </x:c>
      <x:c r="H98" s="5" t="n">
        <x:v>46239</x:v>
      </x:c>
      <x:c r="I98" s="5" t="n">
        <x:v>46258</x:v>
      </x:c>
      <x:c r="J98" s="1" t="n">
        <x:v>2889</x:v>
      </x:c>
      <x:c r="K98" s="6" t="n">
        <x:v>2.82</x:v>
      </x:c>
      <x:c r="L98" s="10" t="n">
        <x:f>J98*K98</x:f>
        <x:v>8146.98</x:v>
      </x:c>
      <x:c r="M98" t="n">
        <x:f>G98-F98</x:f>
        <x:v>3</x:v>
      </x:c>
      <x:c r="N98" t="n">
        <x:f>H98-F98</x:f>
        <x:v>3</x:v>
      </x:c>
    </x:row>
    <x:row r="99">
      <x:c r="A99" s="1" t="str">
        <x:v>PO0098</x:v>
      </x:c>
      <x:c r="B99" s="1" t="str">
        <x:v>SUP03</x:v>
      </x:c>
      <x:c r="C99" s="1" t="str">
        <x:v>Chile</x:v>
      </x:c>
      <x:c r="D99" s="1" t="str">
        <x:v>Maintenance services</x:v>
      </x:c>
      <x:c r="E99" s="1" t="str">
        <x:v>Buyer 2</x:v>
      </x:c>
      <x:c r="F99" s="5" t="n">
        <x:v>46087</x:v>
      </x:c>
      <x:c r="G99" s="5" t="n">
        <x:v>46097</x:v>
      </x:c>
      <x:c r="H99" s="5" t="n">
        <x:v>46097</x:v>
      </x:c>
      <x:c r="I99" s="5" t="n">
        <x:v>46121</x:v>
      </x:c>
      <x:c r="J99" s="1" t="n">
        <x:v>746</x:v>
      </x:c>
      <x:c r="K99" s="6" t="n">
        <x:v>18.88</x:v>
      </x:c>
      <x:c r="L99" s="10" t="n">
        <x:f>J99*K99</x:f>
        <x:v>14084.48</x:v>
      </x:c>
      <x:c r="M99" t="n">
        <x:f>G99-F99</x:f>
        <x:v>10</x:v>
      </x:c>
      <x:c r="N99" t="n">
        <x:f>H99-F99</x:f>
        <x:v>10</x:v>
      </x:c>
    </x:row>
    <x:row r="100">
      <x:c r="A100" s="1" t="str">
        <x:v>PO0099</x:v>
      </x:c>
      <x:c r="B100" s="1" t="str">
        <x:v>SUP05</x:v>
      </x:c>
      <x:c r="C100" s="1" t="str">
        <x:v>Panama</x:v>
      </x:c>
      <x:c r="D100" s="1" t="str">
        <x:v>Ingredients</x:v>
      </x:c>
      <x:c r="E100" s="1" t="str">
        <x:v>Buyer 3</x:v>
      </x:c>
      <x:c r="F100" s="5" t="n">
        <x:v>46198</x:v>
      </x:c>
      <x:c r="G100" s="5" t="n">
        <x:v>46203</x:v>
      </x:c>
      <x:c r="H100" s="5" t="n">
        <x:v>46204</x:v>
      </x:c>
      <x:c r="I100" s="5" t="n">
        <x:v>46226</x:v>
      </x:c>
      <x:c r="J100" s="1" t="n">
        <x:v>718</x:v>
      </x:c>
      <x:c r="K100" s="6" t="n">
        <x:v>5.38</x:v>
      </x:c>
      <x:c r="L100" s="10" t="n">
        <x:f>J100*K100</x:f>
        <x:v>3862.84</x:v>
      </x:c>
      <x:c r="M100" t="n">
        <x:f>G100-F100</x:f>
        <x:v>5</x:v>
      </x:c>
      <x:c r="N100" t="n">
        <x:f>H100-F100</x:f>
        <x:v>6</x:v>
      </x:c>
    </x:row>
    <x:row r="101">
      <x:c r="A101" s="1" t="str">
        <x:v>PO0100</x:v>
      </x:c>
      <x:c r="B101" s="1" t="str">
        <x:v>SUP10</x:v>
      </x:c>
      <x:c r="C101" s="1" t="str">
        <x:v>Mexico</x:v>
      </x:c>
      <x:c r="D101" s="1" t="str">
        <x:v>Packaging</x:v>
      </x:c>
      <x:c r="E101" s="1" t="str">
        <x:v>Buyer 4</x:v>
      </x:c>
      <x:c r="F101" s="5" t="n">
        <x:v>46113</x:v>
      </x:c>
      <x:c r="G101" s="5" t="n">
        <x:v>46118</x:v>
      </x:c>
      <x:c r="H101" s="5" t="n">
        <x:v>46118</x:v>
      </x:c>
      <x:c r="I101" s="5" t="n">
        <x:v>46136</x:v>
      </x:c>
      <x:c r="J101" s="1" t="n">
        <x:v>112</x:v>
      </x:c>
      <x:c r="K101" s="6" t="n">
        <x:v>17.05</x:v>
      </x:c>
      <x:c r="L101" s="10" t="n">
        <x:f>J101*K101</x:f>
        <x:v>1909.6000000000001</x:v>
      </x:c>
      <x:c r="M101" t="n">
        <x:f>G101-F101</x:f>
        <x:v>5</x:v>
      </x:c>
      <x:c r="N101" t="n">
        <x:f>H101-F101</x:f>
        <x:v>5</x:v>
      </x:c>
    </x:row>
    <x:row r="102">
      <x:c r="A102" s="1" t="str">
        <x:v>PO0101</x:v>
      </x:c>
      <x:c r="B102" s="1" t="str">
        <x:v>SUP08</x:v>
      </x:c>
      <x:c r="C102" s="1" t="str">
        <x:v>Colombia</x:v>
      </x:c>
      <x:c r="D102" s="1" t="str">
        <x:v>Ingredients</x:v>
      </x:c>
      <x:c r="E102" s="1" t="str">
        <x:v>Buyer 1</x:v>
      </x:c>
      <x:c r="F102" s="5" t="n">
        <x:v>46050</x:v>
      </x:c>
      <x:c r="G102" s="5" t="n">
        <x:v>46055</x:v>
      </x:c>
      <x:c r="H102" s="5" t="n">
        <x:v>46055</x:v>
      </x:c>
      <x:c r="I102" s="5" t="n">
        <x:v>46075</x:v>
      </x:c>
      <x:c r="J102" s="1" t="n">
        <x:v>3571</x:v>
      </x:c>
      <x:c r="K102" s="6" t="n">
        <x:v>8.78</x:v>
      </x:c>
      <x:c r="L102" s="10" t="n">
        <x:f>J102*K102</x:f>
        <x:v>31353.379999999997</x:v>
      </x:c>
      <x:c r="M102" t="n">
        <x:f>G102-F102</x:f>
        <x:v>5</x:v>
      </x:c>
      <x:c r="N102" t="n">
        <x:f>H102-F102</x:f>
        <x:v>5</x:v>
      </x:c>
    </x:row>
    <x:row r="103">
      <x:c r="A103" s="1" t="str">
        <x:v>PO0102</x:v>
      </x:c>
      <x:c r="B103" s="1" t="str">
        <x:v>SUP06</x:v>
      </x:c>
      <x:c r="C103" s="1" t="str">
        <x:v>Costa Rica</x:v>
      </x:c>
      <x:c r="D103" s="1" t="str">
        <x:v>Maintenance services</x:v>
      </x:c>
      <x:c r="E103" s="1" t="str">
        <x:v>Buyer 2</x:v>
      </x:c>
      <x:c r="F103" s="5" t="n">
        <x:v>46152</x:v>
      </x:c>
      <x:c r="G103" s="5" t="n">
        <x:v>46155</x:v>
      </x:c>
      <x:c r="H103" s="5" t="n">
        <x:v>46156</x:v>
      </x:c>
      <x:c r="I103" s="5" t="n">
        <x:v>46169</x:v>
      </x:c>
      <x:c r="J103" s="1" t="n">
        <x:v>706</x:v>
      </x:c>
      <x:c r="K103" s="6" t="n">
        <x:v>20.79</x:v>
      </x:c>
      <x:c r="L103" s="10" t="n">
        <x:f>J103*K103</x:f>
        <x:v>14677.74</x:v>
      </x:c>
      <x:c r="M103" t="n">
        <x:f>G103-F103</x:f>
        <x:v>3</x:v>
      </x:c>
      <x:c r="N103" t="n">
        <x:f>H103-F103</x:f>
        <x:v>4</x:v>
      </x:c>
    </x:row>
    <x:row r="104">
      <x:c r="A104" s="1" t="str">
        <x:v>PO0103</x:v>
      </x:c>
      <x:c r="B104" s="1" t="str">
        <x:v>SUP11</x:v>
      </x:c>
      <x:c r="C104" s="1" t="str">
        <x:v>Guatemala</x:v>
      </x:c>
      <x:c r="D104" s="1" t="str">
        <x:v>Ingredients</x:v>
      </x:c>
      <x:c r="E104" s="1" t="str">
        <x:v>Buyer 3</x:v>
      </x:c>
      <x:c r="F104" s="5" t="n">
        <x:v>46059</x:v>
      </x:c>
      <x:c r="G104" s="5" t="n">
        <x:v>46060</x:v>
      </x:c>
      <x:c r="H104" s="5" t="n">
        <x:v>46062</x:v>
      </x:c>
      <x:c r="I104" s="5" t="n">
        <x:v>46084</x:v>
      </x:c>
      <x:c r="J104" s="1" t="n">
        <x:v>4117</x:v>
      </x:c>
      <x:c r="K104" s="6" t="n">
        <x:v>1.81</x:v>
      </x:c>
      <x:c r="L104" s="10" t="n">
        <x:f>J104*K104</x:f>
        <x:v>7451.77</x:v>
      </x:c>
      <x:c r="M104" t="n">
        <x:f>G104-F104</x:f>
        <x:v>1</x:v>
      </x:c>
      <x:c r="N104" t="n">
        <x:f>H104-F104</x:f>
        <x:v>3</x:v>
      </x:c>
    </x:row>
    <x:row r="105">
      <x:c r="A105" s="1" t="str">
        <x:v>PO0104</x:v>
      </x:c>
      <x:c r="B105" s="1" t="str">
        <x:v>SUP06</x:v>
      </x:c>
      <x:c r="C105" s="1" t="str">
        <x:v>Peru</x:v>
      </x:c>
      <x:c r="D105" s="1" t="str">
        <x:v>Maintenance services</x:v>
      </x:c>
      <x:c r="E105" s="1" t="str">
        <x:v>Buyer 4</x:v>
      </x:c>
      <x:c r="F105" s="5" t="n">
        <x:v>46192</x:v>
      </x:c>
      <x:c r="G105" s="5" t="n">
        <x:v>46196</x:v>
      </x:c>
      <x:c r="H105" s="5" t="n">
        <x:v>46196</x:v>
      </x:c>
      <x:c r="I105" s="5" t="n">
        <x:v>46204</x:v>
      </x:c>
      <x:c r="J105" s="1" t="n">
        <x:v>2038</x:v>
      </x:c>
      <x:c r="K105" s="6" t="n">
        <x:v>17.11</x:v>
      </x:c>
      <x:c r="L105" s="10" t="n">
        <x:f>J105*K105</x:f>
        <x:v>34870.18</x:v>
      </x:c>
      <x:c r="M105" t="n">
        <x:f>G105-F105</x:f>
        <x:v>4</x:v>
      </x:c>
      <x:c r="N105" t="n">
        <x:f>H105-F105</x:f>
        <x:v>4</x:v>
      </x:c>
    </x:row>
    <x:row r="106">
      <x:c r="A106" s="1" t="str">
        <x:v>PO0105</x:v>
      </x:c>
      <x:c r="B106" s="1" t="str">
        <x:v>SUP11</x:v>
      </x:c>
      <x:c r="C106" s="1" t="str">
        <x:v>Chile</x:v>
      </x:c>
      <x:c r="D106" s="1" t="str">
        <x:v>Ingredients</x:v>
      </x:c>
      <x:c r="E106" s="1" t="str">
        <x:v>Buyer 1</x:v>
      </x:c>
      <x:c r="F106" s="5" t="n">
        <x:v>46247</x:v>
      </x:c>
      <x:c r="G106" s="5" t="n">
        <x:v>46250</x:v>
      </x:c>
      <x:c r="H106" s="5" t="n">
        <x:v>46251</x:v>
      </x:c>
      <x:c r="I106" s="5" t="n">
        <x:v>46261</x:v>
      </x:c>
      <x:c r="J106" s="1" t="n">
        <x:v>2873</x:v>
      </x:c>
      <x:c r="K106" s="6" t="n">
        <x:v>6.62</x:v>
      </x:c>
      <x:c r="L106" s="10" t="n">
        <x:f>J106*K106</x:f>
        <x:v>19019.260000000002</x:v>
      </x:c>
      <x:c r="M106" t="n">
        <x:f>G106-F106</x:f>
        <x:v>3</x:v>
      </x:c>
      <x:c r="N106" t="n">
        <x:f>H106-F106</x:f>
        <x:v>4</x:v>
      </x:c>
    </x:row>
    <x:row r="107">
      <x:c r="A107" s="1" t="str">
        <x:v>PO0106</x:v>
      </x:c>
      <x:c r="B107" s="1" t="str">
        <x:v>SUP12</x:v>
      </x:c>
      <x:c r="C107" s="1" t="str">
        <x:v>Panama</x:v>
      </x:c>
      <x:c r="D107" s="1" t="str">
        <x:v>Maintenance services</x:v>
      </x:c>
      <x:c r="E107" s="1" t="str">
        <x:v>Buyer 2</x:v>
      </x:c>
      <x:c r="F107" s="5" t="n">
        <x:v>46258</x:v>
      </x:c>
      <x:c r="G107" s="5" t="n">
        <x:v>46263</x:v>
      </x:c>
      <x:c r="H107" s="5" t="n">
        <x:v>46264</x:v>
      </x:c>
      <x:c r="I107" s="5" t="n">
        <x:v>46283</x:v>
      </x:c>
      <x:c r="J107" s="1" t="n">
        <x:v>4752</x:v>
      </x:c>
      <x:c r="K107" s="6" t="n">
        <x:v>14.79</x:v>
      </x:c>
      <x:c r="L107" s="10" t="n">
        <x:f>J107*K107</x:f>
        <x:v>70282.08</x:v>
      </x:c>
      <x:c r="M107" t="n">
        <x:f>G107-F107</x:f>
        <x:v>5</x:v>
      </x:c>
      <x:c r="N107" t="n">
        <x:f>H107-F107</x:f>
        <x:v>6</x:v>
      </x:c>
    </x:row>
    <x:row r="108">
      <x:c r="A108" s="1" t="str">
        <x:v>PO0107</x:v>
      </x:c>
      <x:c r="B108" s="1" t="str">
        <x:v>SUP04</x:v>
      </x:c>
      <x:c r="C108" s="1" t="str">
        <x:v>Mexico</x:v>
      </x:c>
      <x:c r="D108" s="1" t="str">
        <x:v>Packaging</x:v>
      </x:c>
      <x:c r="E108" s="1" t="str">
        <x:v>Buyer 3</x:v>
      </x:c>
      <x:c r="F108" s="5" t="n">
        <x:v>46081</x:v>
      </x:c>
      <x:c r="G108" s="5" t="n">
        <x:v>46084</x:v>
      </x:c>
      <x:c r="H108" s="5" t="n">
        <x:v>46085</x:v>
      </x:c>
      <x:c r="I108" s="5" t="n">
        <x:v>46102</x:v>
      </x:c>
      <x:c r="J108" s="1" t="n">
        <x:v>2834</x:v>
      </x:c>
      <x:c r="K108" s="6" t="n">
        <x:v>16.42</x:v>
      </x:c>
      <x:c r="L108" s="10" t="n">
        <x:f>J108*K108</x:f>
        <x:v>46534.280000000006</x:v>
      </x:c>
      <x:c r="M108" t="n">
        <x:f>G108-F108</x:f>
        <x:v>3</x:v>
      </x:c>
      <x:c r="N108" t="n">
        <x:f>H108-F108</x:f>
        <x:v>4</x:v>
      </x:c>
    </x:row>
    <x:row r="109">
      <x:c r="A109" s="1" t="str">
        <x:v>PO0108</x:v>
      </x:c>
      <x:c r="B109" s="1" t="str">
        <x:v>SUP07</x:v>
      </x:c>
      <x:c r="C109" s="1" t="str">
        <x:v>Colombia</x:v>
      </x:c>
      <x:c r="D109" s="1" t="str">
        <x:v>Packaging</x:v>
      </x:c>
      <x:c r="E109" s="1" t="str">
        <x:v>Buyer 4</x:v>
      </x:c>
      <x:c r="F109" s="5" t="n">
        <x:v>46089</x:v>
      </x:c>
      <x:c r="G109" s="5" t="n">
        <x:v>46093</x:v>
      </x:c>
      <x:c r="H109" s="5" t="n">
        <x:v>46095</x:v>
      </x:c>
      <x:c r="I109" s="5" t="n">
        <x:v>46114</x:v>
      </x:c>
      <x:c r="J109" s="1" t="n">
        <x:v>3890</x:v>
      </x:c>
      <x:c r="K109" s="6" t="n">
        <x:v>18.05</x:v>
      </x:c>
      <x:c r="L109" s="10" t="n">
        <x:f>J109*K109</x:f>
        <x:v>70214.5</x:v>
      </x:c>
      <x:c r="M109" t="n">
        <x:f>G109-F109</x:f>
        <x:v>4</x:v>
      </x:c>
      <x:c r="N109" t="n">
        <x:f>H109-F109</x:f>
        <x:v>6</x:v>
      </x:c>
    </x:row>
    <x:row r="110">
      <x:c r="A110" s="1" t="str">
        <x:v>PO0109</x:v>
      </x:c>
      <x:c r="B110" s="1" t="str">
        <x:v>SUP01</x:v>
      </x:c>
      <x:c r="C110" s="1" t="str">
        <x:v>Costa Rica</x:v>
      </x:c>
      <x:c r="D110" s="1" t="str">
        <x:v>Packaging</x:v>
      </x:c>
      <x:c r="E110" s="1" t="str">
        <x:v>Buyer 1</x:v>
      </x:c>
      <x:c r="F110" s="5" t="n">
        <x:v>46252</x:v>
      </x:c>
      <x:c r="G110" s="5" t="n">
        <x:v>46253</x:v>
      </x:c>
      <x:c r="H110" s="5" t="n">
        <x:v>46254</x:v>
      </x:c>
      <x:c r="I110" s="5" t="n">
        <x:v>46266</x:v>
      </x:c>
      <x:c r="J110" s="1" t="n">
        <x:v>2347</x:v>
      </x:c>
      <x:c r="K110" s="6" t="n">
        <x:v>2.37</x:v>
      </x:c>
      <x:c r="L110" s="10" t="n">
        <x:f>J110*K110</x:f>
        <x:v>5562.39</x:v>
      </x:c>
      <x:c r="M110" t="n">
        <x:f>G110-F110</x:f>
        <x:v>1</x:v>
      </x:c>
      <x:c r="N110" t="n">
        <x:f>H110-F110</x:f>
        <x:v>2</x:v>
      </x:c>
    </x:row>
    <x:row r="111">
      <x:c r="A111" s="1" t="str">
        <x:v>PO0110</x:v>
      </x:c>
      <x:c r="B111" s="1" t="str">
        <x:v>SUP12</x:v>
      </x:c>
      <x:c r="C111" s="1" t="str">
        <x:v>Guatemala</x:v>
      </x:c>
      <x:c r="D111" s="1" t="str">
        <x:v>Maintenance services</x:v>
      </x:c>
      <x:c r="E111" s="1" t="str">
        <x:v>Buyer 2</x:v>
      </x:c>
      <x:c r="F111" s="5" t="n">
        <x:v>46224</x:v>
      </x:c>
      <x:c r="G111" s="5" t="n">
        <x:v>46229</x:v>
      </x:c>
      <x:c r="H111" s="5" t="n">
        <x:v>46231</x:v>
      </x:c>
      <x:c r="I111" s="5" t="n">
        <x:v>46254</x:v>
      </x:c>
      <x:c r="J111" s="1" t="n">
        <x:v>4956</x:v>
      </x:c>
      <x:c r="K111" s="6" t="n">
        <x:v>5.32</x:v>
      </x:c>
      <x:c r="L111" s="10" t="n">
        <x:f>J111*K111</x:f>
        <x:v>26365.920000000002</x:v>
      </x:c>
      <x:c r="M111" t="n">
        <x:f>G111-F111</x:f>
        <x:v>5</x:v>
      </x:c>
      <x:c r="N111" t="n">
        <x:f>H111-F111</x:f>
        <x:v>7</x:v>
      </x:c>
    </x:row>
    <x:row r="112">
      <x:c r="A112" s="1" t="str">
        <x:v>PO0111</x:v>
      </x:c>
      <x:c r="B112" s="1" t="str">
        <x:v>SUP13</x:v>
      </x:c>
      <x:c r="C112" s="1" t="str">
        <x:v>Peru</x:v>
      </x:c>
      <x:c r="D112" s="1" t="str">
        <x:v>Packaging</x:v>
      </x:c>
      <x:c r="E112" s="1" t="str">
        <x:v>Buyer 3</x:v>
      </x:c>
      <x:c r="F112" s="5" t="n">
        <x:v>46226</x:v>
      </x:c>
      <x:c r="G112" s="5" t="n">
        <x:v>46227</x:v>
      </x:c>
      <x:c r="H112" s="5" t="n">
        <x:v>46229</x:v>
      </x:c>
      <x:c r="I112" s="5" t="n">
        <x:v>46241</x:v>
      </x:c>
      <x:c r="J112" s="1" t="n">
        <x:v>4667</x:v>
      </x:c>
      <x:c r="K112" s="6" t="n">
        <x:v>14.28</x:v>
      </x:c>
      <x:c r="L112" s="10" t="n">
        <x:f>J112*K112</x:f>
        <x:v>66644.76</x:v>
      </x:c>
      <x:c r="M112" t="n">
        <x:f>G112-F112</x:f>
        <x:v>1</x:v>
      </x:c>
      <x:c r="N112" t="n">
        <x:f>H112-F112</x:f>
        <x:v>3</x:v>
      </x:c>
    </x:row>
    <x:row r="113">
      <x:c r="A113" s="1" t="str">
        <x:v>PO0112</x:v>
      </x:c>
      <x:c r="B113" s="1" t="str">
        <x:v>SUP02</x:v>
      </x:c>
      <x:c r="C113" s="1" t="str">
        <x:v>Chile</x:v>
      </x:c>
      <x:c r="D113" s="1" t="str">
        <x:v>Ingredients</x:v>
      </x:c>
      <x:c r="E113" s="1" t="str">
        <x:v>Buyer 4</x:v>
      </x:c>
      <x:c r="F113" s="5" t="n">
        <x:v>46061</x:v>
      </x:c>
      <x:c r="G113" s="5" t="n">
        <x:v>46066</x:v>
      </x:c>
      <x:c r="H113" s="5" t="n">
        <x:v>46066</x:v>
      </x:c>
      <x:c r="I113" s="5" t="n">
        <x:v>46076</x:v>
      </x:c>
      <x:c r="J113" s="1" t="n">
        <x:v>4729</x:v>
      </x:c>
      <x:c r="K113" s="6" t="n">
        <x:v>2.24</x:v>
      </x:c>
      <x:c r="L113" s="10" t="n">
        <x:f>J113*K113</x:f>
        <x:v>10592.960000000001</x:v>
      </x:c>
      <x:c r="M113" t="n">
        <x:f>G113-F113</x:f>
        <x:v>5</x:v>
      </x:c>
      <x:c r="N113" t="n">
        <x:f>H113-F113</x:f>
        <x:v>5</x:v>
      </x:c>
    </x:row>
    <x:row r="114">
      <x:c r="A114" s="1" t="str">
        <x:v>PO0113</x:v>
      </x:c>
      <x:c r="B114" s="1" t="str">
        <x:v>SUP07</x:v>
      </x:c>
      <x:c r="C114" s="1" t="str">
        <x:v>Panama</x:v>
      </x:c>
      <x:c r="D114" s="1" t="str">
        <x:v>Packaging</x:v>
      </x:c>
      <x:c r="E114" s="1" t="str">
        <x:v>Buyer 1</x:v>
      </x:c>
      <x:c r="F114" s="5" t="n">
        <x:v>46142</x:v>
      </x:c>
      <x:c r="G114" s="5" t="n">
        <x:v>46145</x:v>
      </x:c>
      <x:c r="H114" s="5" t="n">
        <x:v>46147</x:v>
      </x:c>
      <x:c r="I114" s="5" t="n">
        <x:v>46166</x:v>
      </x:c>
      <x:c r="J114" s="1" t="n">
        <x:v>2523</x:v>
      </x:c>
      <x:c r="K114" s="6" t="n">
        <x:v>8.67</x:v>
      </x:c>
      <x:c r="L114" s="10" t="n">
        <x:f>J114*K114</x:f>
        <x:v>21874.41</x:v>
      </x:c>
      <x:c r="M114" t="n">
        <x:f>G114-F114</x:f>
        <x:v>3</x:v>
      </x:c>
      <x:c r="N114" t="n">
        <x:f>H114-F114</x:f>
        <x:v>5</x:v>
      </x:c>
    </x:row>
    <x:row r="115">
      <x:c r="A115" s="1" t="str">
        <x:v>PO0114</x:v>
      </x:c>
      <x:c r="B115" s="1" t="str">
        <x:v>SUP12</x:v>
      </x:c>
      <x:c r="C115" s="1" t="str">
        <x:v>Mexico</x:v>
      </x:c>
      <x:c r="D115" s="1" t="str">
        <x:v>Maintenance services</x:v>
      </x:c>
      <x:c r="E115" s="1" t="str">
        <x:v>Buyer 2</x:v>
      </x:c>
      <x:c r="F115" s="5" t="n">
        <x:v>46098</x:v>
      </x:c>
      <x:c r="G115" s="5" t="n">
        <x:v>46101</x:v>
      </x:c>
      <x:c r="H115" s="5" t="n">
        <x:v>46101</x:v>
      </x:c>
      <x:c r="I115" s="5" t="n">
        <x:v>46112</x:v>
      </x:c>
      <x:c r="J115" s="1" t="n">
        <x:v>4410</x:v>
      </x:c>
      <x:c r="K115" s="6" t="n">
        <x:v>17.03</x:v>
      </x:c>
      <x:c r="L115" s="10" t="n">
        <x:f>J115*K115</x:f>
        <x:v>75102.3</x:v>
      </x:c>
      <x:c r="M115" t="n">
        <x:f>G115-F115</x:f>
        <x:v>3</x:v>
      </x:c>
      <x:c r="N115" t="n">
        <x:f>H115-F115</x:f>
        <x:v>3</x:v>
      </x:c>
    </x:row>
    <x:row r="116">
      <x:c r="A116" s="1" t="str">
        <x:v>PO0115</x:v>
      </x:c>
      <x:c r="B116" s="1" t="str">
        <x:v>SUP07</x:v>
      </x:c>
      <x:c r="C116" s="1" t="str">
        <x:v>Colombia</x:v>
      </x:c>
      <x:c r="D116" s="1" t="str">
        <x:v>Packaging</x:v>
      </x:c>
      <x:c r="E116" s="1" t="str">
        <x:v>Buyer 3</x:v>
      </x:c>
      <x:c r="F116" s="5" t="n">
        <x:v>46148</x:v>
      </x:c>
      <x:c r="G116" s="5" t="n">
        <x:v>46152</x:v>
      </x:c>
      <x:c r="H116" s="5" t="n">
        <x:v>46152</x:v>
      </x:c>
      <x:c r="I116" s="5" t="n">
        <x:v>46174</x:v>
      </x:c>
      <x:c r="J116" s="1" t="n">
        <x:v>3391</x:v>
      </x:c>
      <x:c r="K116" s="6" t="n">
        <x:v>7.82</x:v>
      </x:c>
      <x:c r="L116" s="10" t="n">
        <x:f>J116*K116</x:f>
        <x:v>26517.620000000003</x:v>
      </x:c>
      <x:c r="M116" t="n">
        <x:f>G116-F116</x:f>
        <x:v>4</x:v>
      </x:c>
      <x:c r="N116" t="n">
        <x:f>H116-F116</x:f>
        <x:v>4</x:v>
      </x:c>
    </x:row>
    <x:row r="117">
      <x:c r="A117" s="1" t="str">
        <x:v>PO0116</x:v>
      </x:c>
      <x:c r="B117" s="1" t="str">
        <x:v>SUP12</x:v>
      </x:c>
      <x:c r="C117" s="1" t="str">
        <x:v>Costa Rica</x:v>
      </x:c>
      <x:c r="D117" s="1" t="str">
        <x:v>Maintenance services</x:v>
      </x:c>
      <x:c r="E117" s="1" t="str">
        <x:v>Buyer 4</x:v>
      </x:c>
      <x:c r="F117" s="5" t="n">
        <x:v>46275</x:v>
      </x:c>
      <x:c r="G117" s="5" t="n">
        <x:v>46278</x:v>
      </x:c>
      <x:c r="H117" s="5" t="n">
        <x:v>46280</x:v>
      </x:c>
      <x:c r="I117" s="5" t="n">
        <x:v>46290</x:v>
      </x:c>
      <x:c r="J117" s="1" t="n">
        <x:v>4687</x:v>
      </x:c>
      <x:c r="K117" s="6" t="n">
        <x:v>19.25</x:v>
      </x:c>
      <x:c r="L117" s="10" t="n">
        <x:f>J117*K117</x:f>
        <x:v>90224.75</x:v>
      </x:c>
      <x:c r="M117" t="n">
        <x:f>G117-F117</x:f>
        <x:v>3</x:v>
      </x:c>
      <x:c r="N117" t="n">
        <x:f>H117-F117</x:f>
        <x:v>5</x:v>
      </x:c>
    </x:row>
    <x:row r="118">
      <x:c r="A118" s="1" t="str">
        <x:v>PO0117</x:v>
      </x:c>
      <x:c r="B118" s="1" t="str">
        <x:v>SUP07</x:v>
      </x:c>
      <x:c r="C118" s="1" t="str">
        <x:v>Guatemala</x:v>
      </x:c>
      <x:c r="D118" s="1" t="str">
        <x:v>Packaging</x:v>
      </x:c>
      <x:c r="E118" s="1" t="str">
        <x:v>Buyer 1</x:v>
      </x:c>
      <x:c r="F118" s="5" t="n">
        <x:v>46101</x:v>
      </x:c>
      <x:c r="G118" s="5" t="n">
        <x:v>46104</x:v>
      </x:c>
      <x:c r="H118" s="5" t="n">
        <x:v>46104</x:v>
      </x:c>
      <x:c r="I118" s="5" t="n">
        <x:v>46127</x:v>
      </x:c>
      <x:c r="J118" s="1" t="n">
        <x:v>238</x:v>
      </x:c>
      <x:c r="K118" s="6" t="n">
        <x:v>3.85</x:v>
      </x:c>
      <x:c r="L118" s="10" t="n">
        <x:f>J118*K118</x:f>
        <x:v>916.3000000000001</x:v>
      </x:c>
      <x:c r="M118" t="n">
        <x:f>G118-F118</x:f>
        <x:v>3</x:v>
      </x:c>
      <x:c r="N118" t="n">
        <x:f>H118-F118</x:f>
        <x:v>3</x:v>
      </x:c>
    </x:row>
    <x:row r="119">
      <x:c r="A119" s="1" t="str">
        <x:v>PO0118</x:v>
      </x:c>
      <x:c r="B119" s="1" t="str">
        <x:v>SUP03</x:v>
      </x:c>
      <x:c r="C119" s="1" t="str">
        <x:v>Peru</x:v>
      </x:c>
      <x:c r="D119" s="1" t="str">
        <x:v>Maintenance services</x:v>
      </x:c>
      <x:c r="E119" s="1" t="str">
        <x:v>Buyer 2</x:v>
      </x:c>
      <x:c r="F119" s="5" t="n">
        <x:v>46267</x:v>
      </x:c>
      <x:c r="G119" s="5" t="n">
        <x:v>46275</x:v>
      </x:c>
      <x:c r="H119" s="5" t="n">
        <x:v>46275</x:v>
      </x:c>
      <x:c r="I119" s="5" t="n">
        <x:v>46291</x:v>
      </x:c>
      <x:c r="J119" s="1" t="n">
        <x:v>1637</x:v>
      </x:c>
      <x:c r="K119" s="6" t="n">
        <x:v>8.03</x:v>
      </x:c>
      <x:c r="L119" s="10" t="n">
        <x:f>J119*K119</x:f>
        <x:v>13145.109999999999</x:v>
      </x:c>
      <x:c r="M119" t="n">
        <x:f>G119-F119</x:f>
        <x:v>8</x:v>
      </x:c>
      <x:c r="N119" t="n">
        <x:f>H119-F119</x:f>
        <x:v>8</x:v>
      </x:c>
    </x:row>
    <x:row r="120">
      <x:c r="A120" s="1" t="str">
        <x:v>PO0119</x:v>
      </x:c>
      <x:c r="B120" s="1" t="str">
        <x:v>SUP01</x:v>
      </x:c>
      <x:c r="C120" s="1" t="str">
        <x:v>Chile</x:v>
      </x:c>
      <x:c r="D120" s="1" t="str">
        <x:v>Packaging</x:v>
      </x:c>
      <x:c r="E120" s="1" t="str">
        <x:v>Buyer 3</x:v>
      </x:c>
      <x:c r="F120" s="5" t="n">
        <x:v>46076</x:v>
      </x:c>
      <x:c r="G120" s="5" t="n">
        <x:v>46080</x:v>
      </x:c>
      <x:c r="H120" s="5" t="n">
        <x:v>46080</x:v>
      </x:c>
      <x:c r="I120" s="5" t="n">
        <x:v>46095</x:v>
      </x:c>
      <x:c r="J120" s="1" t="n">
        <x:v>1269</x:v>
      </x:c>
      <x:c r="K120" s="6" t="n">
        <x:v>21.6</x:v>
      </x:c>
      <x:c r="L120" s="10" t="n">
        <x:f>J120*K120</x:f>
        <x:v>27410.4</x:v>
      </x:c>
      <x:c r="M120" t="n">
        <x:f>G120-F120</x:f>
        <x:v>4</x:v>
      </x:c>
      <x:c r="N120" t="n">
        <x:f>H120-F120</x:f>
        <x:v>4</x:v>
      </x:c>
    </x:row>
    <x:row r="121">
      <x:c r="A121" s="1" t="str">
        <x:v>PO0120</x:v>
      </x:c>
      <x:c r="B121" s="1" t="str">
        <x:v>SUP06</x:v>
      </x:c>
      <x:c r="C121" s="1" t="str">
        <x:v>Panama</x:v>
      </x:c>
      <x:c r="D121" s="1" t="str">
        <x:v>Maintenance services</x:v>
      </x:c>
      <x:c r="E121" s="1" t="str">
        <x:v>Buyer 4</x:v>
      </x:c>
      <x:c r="F121" s="5" t="n">
        <x:v>46205</x:v>
      </x:c>
      <x:c r="G121" s="5" t="n">
        <x:v>46206</x:v>
      </x:c>
      <x:c r="H121" s="5" t="n">
        <x:v>46207</x:v>
      </x:c>
      <x:c r="I121" s="5" t="n">
        <x:v>46221</x:v>
      </x:c>
      <x:c r="J121" s="1" t="n">
        <x:v>849</x:v>
      </x:c>
      <x:c r="K121" s="6" t="n">
        <x:v>5.94</x:v>
      </x:c>
      <x:c r="L121" s="10" t="n">
        <x:f>J121*K121</x:f>
        <x:v>5043.06</x:v>
      </x:c>
      <x:c r="M121" t="n">
        <x:f>G121-F121</x:f>
        <x:v>1</x:v>
      </x:c>
      <x:c r="N121" t="n">
        <x:f>H121-F121</x:f>
        <x:v>2</x:v>
      </x:c>
    </x:row>
    <x:row r="122">
      <x:c r="A122" s="1" t="str">
        <x:v>PO0121</x:v>
      </x:c>
      <x:c r="B122" s="1" t="str">
        <x:v>SUP05</x:v>
      </x:c>
      <x:c r="C122" s="1" t="str">
        <x:v>Mexico</x:v>
      </x:c>
      <x:c r="D122" s="1" t="str">
        <x:v>Ingredients</x:v>
      </x:c>
      <x:c r="E122" s="1" t="str">
        <x:v>Buyer 1</x:v>
      </x:c>
      <x:c r="F122" s="5" t="n">
        <x:v>46132</x:v>
      </x:c>
      <x:c r="G122" s="5" t="n">
        <x:v>46134</x:v>
      </x:c>
      <x:c r="H122" s="5" t="n">
        <x:v>46136</x:v>
      </x:c>
      <x:c r="I122" s="5" t="n">
        <x:v>46156</x:v>
      </x:c>
      <x:c r="J122" s="1" t="n">
        <x:v>738</x:v>
      </x:c>
      <x:c r="K122" s="6" t="n">
        <x:v>6.47</x:v>
      </x:c>
      <x:c r="L122" s="10" t="n">
        <x:f>J122*K122</x:f>
        <x:v>4774.86</x:v>
      </x:c>
      <x:c r="M122" t="n">
        <x:f>G122-F122</x:f>
        <x:v>2</x:v>
      </x:c>
      <x:c r="N122" t="n">
        <x:f>H122-F122</x:f>
        <x:v>4</x:v>
      </x:c>
    </x:row>
    <x:row r="123">
      <x:c r="A123" s="1" t="str">
        <x:v>PO0122</x:v>
      </x:c>
      <x:c r="B123" s="1" t="str">
        <x:v>SUP11</x:v>
      </x:c>
      <x:c r="C123" s="1" t="str">
        <x:v>Colombia</x:v>
      </x:c>
      <x:c r="D123" s="1" t="str">
        <x:v>Ingredients</x:v>
      </x:c>
      <x:c r="E123" s="1" t="str">
        <x:v>Buyer 2</x:v>
      </x:c>
      <x:c r="F123" s="5" t="n">
        <x:v>46074</x:v>
      </x:c>
      <x:c r="G123" s="5" t="n">
        <x:v>46078</x:v>
      </x:c>
      <x:c r="H123" s="5" t="n">
        <x:v>46079</x:v>
      </x:c>
      <x:c r="I123" s="5" t="n">
        <x:v>46093</x:v>
      </x:c>
      <x:c r="J123" s="1" t="n">
        <x:v>3141</x:v>
      </x:c>
      <x:c r="K123" s="6" t="n">
        <x:v>17.91</x:v>
      </x:c>
      <x:c r="L123" s="10" t="n">
        <x:f>J123*K123</x:f>
        <x:v>56255.31</x:v>
      </x:c>
      <x:c r="M123" t="n">
        <x:f>G123-F123</x:f>
        <x:v>4</x:v>
      </x:c>
      <x:c r="N123" t="n">
        <x:f>H123-F123</x:f>
        <x:v>5</x:v>
      </x:c>
    </x:row>
    <x:row r="124">
      <x:c r="A124" s="1" t="str">
        <x:v>PO0123</x:v>
      </x:c>
      <x:c r="B124" s="1" t="str">
        <x:v>SUP10</x:v>
      </x:c>
      <x:c r="C124" s="1" t="str">
        <x:v>Costa Rica</x:v>
      </x:c>
      <x:c r="D124" s="1" t="str">
        <x:v>Packaging</x:v>
      </x:c>
      <x:c r="E124" s="1" t="str">
        <x:v>Buyer 3</x:v>
      </x:c>
      <x:c r="F124" s="5" t="n">
        <x:v>46068</x:v>
      </x:c>
      <x:c r="G124" s="5" t="n">
        <x:v>46070</x:v>
      </x:c>
      <x:c r="H124" s="5" t="n">
        <x:v>46072</x:v>
      </x:c>
      <x:c r="I124" s="5" t="n">
        <x:v>46082</x:v>
      </x:c>
      <x:c r="J124" s="1" t="n">
        <x:v>3369</x:v>
      </x:c>
      <x:c r="K124" s="6" t="n">
        <x:v>14.27</x:v>
      </x:c>
      <x:c r="L124" s="10" t="n">
        <x:f>J124*K124</x:f>
        <x:v>48075.63</x:v>
      </x:c>
      <x:c r="M124" t="n">
        <x:f>G124-F124</x:f>
        <x:v>2</x:v>
      </x:c>
      <x:c r="N124" t="n">
        <x:f>H124-F124</x:f>
        <x:v>4</x:v>
      </x:c>
    </x:row>
    <x:row r="125">
      <x:c r="A125" s="1" t="str">
        <x:v>PO0124</x:v>
      </x:c>
      <x:c r="B125" s="1" t="str">
        <x:v>SUP10</x:v>
      </x:c>
      <x:c r="C125" s="1" t="str">
        <x:v>Guatemala</x:v>
      </x:c>
      <x:c r="D125" s="1" t="str">
        <x:v>Packaging</x:v>
      </x:c>
      <x:c r="E125" s="1" t="str">
        <x:v>Buyer 4</x:v>
      </x:c>
      <x:c r="F125" s="5" t="n">
        <x:v>46107</x:v>
      </x:c>
      <x:c r="G125" s="5" t="n">
        <x:v>46110</x:v>
      </x:c>
      <x:c r="H125" s="5" t="n">
        <x:v>46111</x:v>
      </x:c>
      <x:c r="I125" s="5" t="n">
        <x:v>46136</x:v>
      </x:c>
      <x:c r="J125" s="1" t="n">
        <x:v>4271</x:v>
      </x:c>
      <x:c r="K125" s="6" t="n">
        <x:v>22.6</x:v>
      </x:c>
      <x:c r="L125" s="10" t="n">
        <x:f>J125*K125</x:f>
        <x:v>96524.6</x:v>
      </x:c>
      <x:c r="M125" t="n">
        <x:f>G125-F125</x:f>
        <x:v>3</x:v>
      </x:c>
      <x:c r="N125" t="n">
        <x:f>H125-F125</x:f>
        <x:v>4</x:v>
      </x:c>
    </x:row>
    <x:row r="126">
      <x:c r="A126" s="1" t="str">
        <x:v>PO0125</x:v>
      </x:c>
      <x:c r="B126" s="1" t="str">
        <x:v>SUP06</x:v>
      </x:c>
      <x:c r="C126" s="1" t="str">
        <x:v>Peru</x:v>
      </x:c>
      <x:c r="D126" s="1" t="str">
        <x:v>Maintenance services</x:v>
      </x:c>
      <x:c r="E126" s="1" t="str">
        <x:v>Buyer 1</x:v>
      </x:c>
      <x:c r="F126" s="5" t="n">
        <x:v>46186</x:v>
      </x:c>
      <x:c r="G126" s="5" t="n">
        <x:v>46189</x:v>
      </x:c>
      <x:c r="H126" s="5" t="n">
        <x:v>46189</x:v>
      </x:c>
      <x:c r="I126" s="5" t="n">
        <x:v>46199</x:v>
      </x:c>
      <x:c r="J126" s="1" t="n">
        <x:v>4106</x:v>
      </x:c>
      <x:c r="K126" s="6" t="n">
        <x:v>5.35</x:v>
      </x:c>
      <x:c r="L126" s="10" t="n">
        <x:f>J126*K126</x:f>
        <x:v>21967.1</x:v>
      </x:c>
      <x:c r="M126" t="n">
        <x:f>G126-F126</x:f>
        <x:v>3</x:v>
      </x:c>
      <x:c r="N126" t="n">
        <x:f>H126-F126</x:f>
        <x:v>3</x:v>
      </x:c>
    </x:row>
    <x:row r="127">
      <x:c r="A127" s="1" t="str">
        <x:v>PO0126</x:v>
      </x:c>
      <x:c r="B127" s="1" t="str">
        <x:v>SUP07</x:v>
      </x:c>
      <x:c r="C127" s="1" t="str">
        <x:v>Chile</x:v>
      </x:c>
      <x:c r="D127" s="1" t="str">
        <x:v>Packaging</x:v>
      </x:c>
      <x:c r="E127" s="1" t="str">
        <x:v>Buyer 2</x:v>
      </x:c>
      <x:c r="F127" s="5" t="n">
        <x:v>46023</x:v>
      </x:c>
      <x:c r="G127" s="5" t="n">
        <x:v>46025</x:v>
      </x:c>
      <x:c r="H127" s="5" t="n">
        <x:v>46026</x:v>
      </x:c>
      <x:c r="I127" s="5" t="n">
        <x:v>46042</x:v>
      </x:c>
      <x:c r="J127" s="1" t="n">
        <x:v>548</x:v>
      </x:c>
      <x:c r="K127" s="6" t="n">
        <x:v>4.32</x:v>
      </x:c>
      <x:c r="L127" s="10" t="n">
        <x:f>J127*K127</x:f>
        <x:v>2367.36</x:v>
      </x:c>
      <x:c r="M127" t="n">
        <x:f>G127-F127</x:f>
        <x:v>2</x:v>
      </x:c>
      <x:c r="N127" t="n">
        <x:f>H127-F127</x:f>
        <x:v>3</x:v>
      </x:c>
    </x:row>
    <x:row r="128">
      <x:c r="A128" s="1" t="str">
        <x:v>PO0127</x:v>
      </x:c>
      <x:c r="B128" s="1" t="str">
        <x:v>SUP01</x:v>
      </x:c>
      <x:c r="C128" s="1" t="str">
        <x:v>Panama</x:v>
      </x:c>
      <x:c r="D128" s="1" t="str">
        <x:v>Packaging</x:v>
      </x:c>
      <x:c r="E128" s="1" t="str">
        <x:v>Buyer 3</x:v>
      </x:c>
      <x:c r="F128" s="5" t="n">
        <x:v>46051</x:v>
      </x:c>
      <x:c r="G128" s="5" t="n">
        <x:v>46052</x:v>
      </x:c>
      <x:c r="H128" s="5" t="n">
        <x:v>46054</x:v>
      </x:c>
      <x:c r="I128" s="5" t="n">
        <x:v>46075</x:v>
      </x:c>
      <x:c r="J128" s="1" t="n">
        <x:v>2864</x:v>
      </x:c>
      <x:c r="K128" s="6" t="n">
        <x:v>12.57</x:v>
      </x:c>
      <x:c r="L128" s="10" t="n">
        <x:f>J128*K128</x:f>
        <x:v>36000.48</x:v>
      </x:c>
      <x:c r="M128" t="n">
        <x:f>G128-F128</x:f>
        <x:v>1</x:v>
      </x:c>
      <x:c r="N128" t="n">
        <x:f>H128-F128</x:f>
        <x:v>3</x:v>
      </x:c>
    </x:row>
    <x:row r="129">
      <x:c r="A129" s="1" t="str">
        <x:v>PO0128</x:v>
      </x:c>
      <x:c r="B129" s="1" t="str">
        <x:v>SUP11</x:v>
      </x:c>
      <x:c r="C129" s="1" t="str">
        <x:v>Mexico</x:v>
      </x:c>
      <x:c r="D129" s="1" t="str">
        <x:v>Ingredients</x:v>
      </x:c>
      <x:c r="E129" s="1" t="str">
        <x:v>Buyer 4</x:v>
      </x:c>
      <x:c r="F129" s="5" t="n">
        <x:v>46068</x:v>
      </x:c>
      <x:c r="G129" s="5" t="n">
        <x:v>46073</x:v>
      </x:c>
      <x:c r="H129" s="5" t="n">
        <x:v>46074</x:v>
      </x:c>
      <x:c r="I129" s="5" t="n">
        <x:v>46085</x:v>
      </x:c>
      <x:c r="J129" s="1" t="n">
        <x:v>777</x:v>
      </x:c>
      <x:c r="K129" s="6" t="n">
        <x:v>7.97</x:v>
      </x:c>
      <x:c r="L129" s="10" t="n">
        <x:f>J129*K129</x:f>
        <x:v>6192.69</x:v>
      </x:c>
      <x:c r="M129" t="n">
        <x:f>G129-F129</x:f>
        <x:v>5</x:v>
      </x:c>
      <x:c r="N129" t="n">
        <x:f>H129-F129</x:f>
        <x:v>6</x:v>
      </x:c>
    </x:row>
    <x:row r="130">
      <x:c r="A130" s="1" t="str">
        <x:v>PO0129</x:v>
      </x:c>
      <x:c r="B130" s="1" t="str">
        <x:v>SUP02</x:v>
      </x:c>
      <x:c r="C130" s="1" t="str">
        <x:v>Colombia</x:v>
      </x:c>
      <x:c r="D130" s="1" t="str">
        <x:v>Ingredients</x:v>
      </x:c>
      <x:c r="E130" s="1" t="str">
        <x:v>Buyer 1</x:v>
      </x:c>
      <x:c r="F130" s="5" t="n">
        <x:v>46151</x:v>
      </x:c>
      <x:c r="G130" s="5" t="n">
        <x:v>46155</x:v>
      </x:c>
      <x:c r="H130" s="5" t="n">
        <x:v>46157</x:v>
      </x:c>
      <x:c r="I130" s="5" t="n">
        <x:v>46165</x:v>
      </x:c>
      <x:c r="J130" s="1" t="n">
        <x:v>1790</x:v>
      </x:c>
      <x:c r="K130" s="6" t="n">
        <x:v>4.78</x:v>
      </x:c>
      <x:c r="L130" s="10" t="n">
        <x:f>J130*K130</x:f>
        <x:v>8556.2</x:v>
      </x:c>
      <x:c r="M130" t="n">
        <x:f>G130-F130</x:f>
        <x:v>4</x:v>
      </x:c>
      <x:c r="N130" t="n">
        <x:f>H130-F130</x:f>
        <x:v>6</x:v>
      </x:c>
    </x:row>
    <x:row r="131">
      <x:c r="A131" s="1" t="str">
        <x:v>PO0130</x:v>
      </x:c>
      <x:c r="B131" s="1" t="str">
        <x:v>SUP03</x:v>
      </x:c>
      <x:c r="C131" s="1" t="str">
        <x:v>Costa Rica</x:v>
      </x:c>
      <x:c r="D131" s="1" t="str">
        <x:v>Maintenance services</x:v>
      </x:c>
      <x:c r="E131" s="1" t="str">
        <x:v>Buyer 2</x:v>
      </x:c>
      <x:c r="F131" s="5" t="n">
        <x:v>46033</x:v>
      </x:c>
      <x:c r="G131" s="5" t="n">
        <x:v>46044</x:v>
      </x:c>
      <x:c r="H131" s="5" t="n">
        <x:v>46046</x:v>
      </x:c>
      <x:c r="I131" s="5" t="n">
        <x:v>46054</x:v>
      </x:c>
      <x:c r="J131" s="1" t="n">
        <x:v>1804</x:v>
      </x:c>
      <x:c r="K131" s="6" t="n">
        <x:v>13.24</x:v>
      </x:c>
      <x:c r="L131" s="10" t="n">
        <x:f>J131*K131</x:f>
        <x:v>23884.96</x:v>
      </x:c>
      <x:c r="M131" t="n">
        <x:f>G131-F131</x:f>
        <x:v>11</x:v>
      </x:c>
      <x:c r="N131" t="n">
        <x:f>H131-F131</x:f>
        <x:v>13</x:v>
      </x:c>
    </x:row>
    <x:row r="132">
      <x:c r="A132" s="1" t="str">
        <x:v>PO0131</x:v>
      </x:c>
      <x:c r="B132" s="1" t="str">
        <x:v>SUP04</x:v>
      </x:c>
      <x:c r="C132" s="1" t="str">
        <x:v>Guatemala</x:v>
      </x:c>
      <x:c r="D132" s="1" t="str">
        <x:v>Packaging</x:v>
      </x:c>
      <x:c r="E132" s="1" t="str">
        <x:v>Buyer 3</x:v>
      </x:c>
      <x:c r="F132" s="5" t="n">
        <x:v>46204</x:v>
      </x:c>
      <x:c r="G132" s="5" t="n">
        <x:v>46209</x:v>
      </x:c>
      <x:c r="H132" s="5" t="n">
        <x:v>46210</x:v>
      </x:c>
      <x:c r="I132" s="5" t="n">
        <x:v>46228</x:v>
      </x:c>
      <x:c r="J132" s="1" t="n">
        <x:v>546</x:v>
      </x:c>
      <x:c r="K132" s="6" t="n">
        <x:v>8.33</x:v>
      </x:c>
      <x:c r="L132" s="10" t="n">
        <x:f>J132*K132</x:f>
        <x:v>4548.18</x:v>
      </x:c>
      <x:c r="M132" t="n">
        <x:f>G132-F132</x:f>
        <x:v>5</x:v>
      </x:c>
      <x:c r="N132" t="n">
        <x:f>H132-F132</x:f>
        <x:v>6</x:v>
      </x:c>
    </x:row>
    <x:row r="133">
      <x:c r="A133" s="1" t="str">
        <x:v>PO0132</x:v>
      </x:c>
      <x:c r="B133" s="1" t="str">
        <x:v>SUP14</x:v>
      </x:c>
      <x:c r="C133" s="1" t="str">
        <x:v>Peru</x:v>
      </x:c>
      <x:c r="D133" s="1" t="str">
        <x:v>Ingredients</x:v>
      </x:c>
      <x:c r="E133" s="1" t="str">
        <x:v>Buyer 4</x:v>
      </x:c>
      <x:c r="F133" s="5" t="n">
        <x:v>46023</x:v>
      </x:c>
      <x:c r="G133" s="5" t="n">
        <x:v>46027</x:v>
      </x:c>
      <x:c r="H133" s="5" t="n">
        <x:v>46029</x:v>
      </x:c>
      <x:c r="I133" s="5" t="n">
        <x:v>46040</x:v>
      </x:c>
      <x:c r="J133" s="1" t="n">
        <x:v>3917</x:v>
      </x:c>
      <x:c r="K133" s="6" t="n">
        <x:v>21.71</x:v>
      </x:c>
      <x:c r="L133" s="10" t="n">
        <x:f>J133*K133</x:f>
        <x:v>85038.07</x:v>
      </x:c>
      <x:c r="M133" t="n">
        <x:f>G133-F133</x:f>
        <x:v>4</x:v>
      </x:c>
      <x:c r="N133" t="n">
        <x:f>H133-F133</x:f>
        <x:v>6</x:v>
      </x:c>
    </x:row>
    <x:row r="134">
      <x:c r="A134" s="1" t="str">
        <x:v>PO0133</x:v>
      </x:c>
      <x:c r="B134" s="1" t="str">
        <x:v>SUP10</x:v>
      </x:c>
      <x:c r="C134" s="1" t="str">
        <x:v>Chile</x:v>
      </x:c>
      <x:c r="D134" s="1" t="str">
        <x:v>Packaging</x:v>
      </x:c>
      <x:c r="E134" s="1" t="str">
        <x:v>Buyer 1</x:v>
      </x:c>
      <x:c r="F134" s="5" t="n">
        <x:v>46102</x:v>
      </x:c>
      <x:c r="G134" s="5" t="n">
        <x:v>46105</x:v>
      </x:c>
      <x:c r="H134" s="5" t="n">
        <x:v>46106</x:v>
      </x:c>
      <x:c r="I134" s="5" t="n">
        <x:v>46118</x:v>
      </x:c>
      <x:c r="J134" s="1" t="n">
        <x:v>4371</x:v>
      </x:c>
      <x:c r="K134" s="6" t="n">
        <x:v>13.88</x:v>
      </x:c>
      <x:c r="L134" s="10" t="n">
        <x:f>J134*K134</x:f>
        <x:v>60669.48</x:v>
      </x:c>
      <x:c r="M134" t="n">
        <x:f>G134-F134</x:f>
        <x:v>3</x:v>
      </x:c>
      <x:c r="N134" t="n">
        <x:f>H134-F134</x:f>
        <x:v>4</x:v>
      </x:c>
    </x:row>
    <x:row r="135">
      <x:c r="A135" s="1" t="str">
        <x:v>PO0134</x:v>
      </x:c>
      <x:c r="B135" s="1" t="str">
        <x:v>SUP07</x:v>
      </x:c>
      <x:c r="C135" s="1" t="str">
        <x:v>Panama</x:v>
      </x:c>
      <x:c r="D135" s="1" t="str">
        <x:v>Packaging</x:v>
      </x:c>
      <x:c r="E135" s="1" t="str">
        <x:v>Buyer 2</x:v>
      </x:c>
      <x:c r="F135" s="5" t="n">
        <x:v>46227</x:v>
      </x:c>
      <x:c r="G135" s="5" t="n">
        <x:v>46228</x:v>
      </x:c>
      <x:c r="H135" s="5" t="n">
        <x:v>46229</x:v>
      </x:c>
      <x:c r="I135" s="5" t="n">
        <x:v>46248</x:v>
      </x:c>
      <x:c r="J135" s="1" t="n">
        <x:v>4619</x:v>
      </x:c>
      <x:c r="K135" s="6" t="n">
        <x:v>19.86</x:v>
      </x:c>
      <x:c r="L135" s="10" t="n">
        <x:f>J135*K135</x:f>
        <x:v>91733.34</x:v>
      </x:c>
      <x:c r="M135" t="n">
        <x:f>G135-F135</x:f>
        <x:v>1</x:v>
      </x:c>
      <x:c r="N135" t="n">
        <x:f>H135-F135</x:f>
        <x:v>2</x:v>
      </x:c>
    </x:row>
    <x:row r="136">
      <x:c r="A136" s="1" t="str">
        <x:v>PO0135</x:v>
      </x:c>
      <x:c r="B136" s="1" t="str">
        <x:v>SUP02</x:v>
      </x:c>
      <x:c r="C136" s="1" t="str">
        <x:v>Mexico</x:v>
      </x:c>
      <x:c r="D136" s="1" t="str">
        <x:v>Ingredients</x:v>
      </x:c>
      <x:c r="E136" s="1" t="str">
        <x:v>Buyer 3</x:v>
      </x:c>
      <x:c r="F136" s="5" t="n">
        <x:v>46207</x:v>
      </x:c>
      <x:c r="G136" s="5" t="n">
        <x:v>46212</x:v>
      </x:c>
      <x:c r="H136" s="5" t="n">
        <x:v>46212</x:v>
      </x:c>
      <x:c r="I136" s="5" t="n">
        <x:v>46221</x:v>
      </x:c>
      <x:c r="J136" s="1" t="n">
        <x:v>3858</x:v>
      </x:c>
      <x:c r="K136" s="6" t="n">
        <x:v>11.86</x:v>
      </x:c>
      <x:c r="L136" s="10" t="n">
        <x:f>J136*K136</x:f>
        <x:v>45755.88</x:v>
      </x:c>
      <x:c r="M136" t="n">
        <x:f>G136-F136</x:f>
        <x:v>5</x:v>
      </x:c>
      <x:c r="N136" t="n">
        <x:f>H136-F136</x:f>
        <x:v>5</x:v>
      </x:c>
    </x:row>
    <x:row r="137">
      <x:c r="A137" s="1" t="str">
        <x:v>PO0136</x:v>
      </x:c>
      <x:c r="B137" s="1" t="str">
        <x:v>SUP05</x:v>
      </x:c>
      <x:c r="C137" s="1" t="str">
        <x:v>Colombia</x:v>
      </x:c>
      <x:c r="D137" s="1" t="str">
        <x:v>Ingredients</x:v>
      </x:c>
      <x:c r="E137" s="1" t="str">
        <x:v>Buyer 4</x:v>
      </x:c>
      <x:c r="F137" s="5" t="n">
        <x:v>46243</x:v>
      </x:c>
      <x:c r="G137" s="5" t="n">
        <x:v>46244</x:v>
      </x:c>
      <x:c r="H137" s="5" t="n">
        <x:v>46246</x:v>
      </x:c>
      <x:c r="I137" s="5" t="n">
        <x:v>46262</x:v>
      </x:c>
      <x:c r="J137" s="1" t="n">
        <x:v>4827</x:v>
      </x:c>
      <x:c r="K137" s="6" t="n">
        <x:v>20.22</x:v>
      </x:c>
      <x:c r="L137" s="10" t="n">
        <x:f>J137*K137</x:f>
        <x:v>97601.93999999999</x:v>
      </x:c>
      <x:c r="M137" t="n">
        <x:f>G137-F137</x:f>
        <x:v>1</x:v>
      </x:c>
      <x:c r="N137" t="n">
        <x:f>H137-F137</x:f>
        <x:v>3</x:v>
      </x:c>
    </x:row>
    <x:row r="138">
      <x:c r="A138" s="1" t="str">
        <x:v>PO0137</x:v>
      </x:c>
      <x:c r="B138" s="1" t="str">
        <x:v>SUP01</x:v>
      </x:c>
      <x:c r="C138" s="1" t="str">
        <x:v>Costa Rica</x:v>
      </x:c>
      <x:c r="D138" s="1" t="str">
        <x:v>Packaging</x:v>
      </x:c>
      <x:c r="E138" s="1" t="str">
        <x:v>Buyer 1</x:v>
      </x:c>
      <x:c r="F138" s="5" t="n">
        <x:v>46040</x:v>
      </x:c>
      <x:c r="G138" s="5" t="n">
        <x:v>46045</x:v>
      </x:c>
      <x:c r="H138" s="5" t="n">
        <x:v>46047</x:v>
      </x:c>
      <x:c r="I138" s="5" t="n">
        <x:v>46059</x:v>
      </x:c>
      <x:c r="J138" s="1" t="n">
        <x:v>1700</x:v>
      </x:c>
      <x:c r="K138" s="6" t="n">
        <x:v>11.74</x:v>
      </x:c>
      <x:c r="L138" s="10" t="n">
        <x:f>J138*K138</x:f>
        <x:v>19958</x:v>
      </x:c>
      <x:c r="M138" t="n">
        <x:f>G138-F138</x:f>
        <x:v>5</x:v>
      </x:c>
      <x:c r="N138" t="n">
        <x:f>H138-F138</x:f>
        <x:v>7</x:v>
      </x:c>
    </x:row>
    <x:row r="139">
      <x:c r="A139" s="1" t="str">
        <x:v>PO0138</x:v>
      </x:c>
      <x:c r="B139" s="1" t="str">
        <x:v>SUP07</x:v>
      </x:c>
      <x:c r="C139" s="1" t="str">
        <x:v>Guatemala</x:v>
      </x:c>
      <x:c r="D139" s="1" t="str">
        <x:v>Packaging</x:v>
      </x:c>
      <x:c r="E139" s="1" t="str">
        <x:v>Buyer 2</x:v>
      </x:c>
      <x:c r="F139" s="5" t="n">
        <x:v>46224</x:v>
      </x:c>
      <x:c r="G139" s="5" t="n">
        <x:v>46225</x:v>
      </x:c>
      <x:c r="H139" s="5" t="n">
        <x:v>46227</x:v>
      </x:c>
      <x:c r="I139" s="5" t="n">
        <x:v>46247</x:v>
      </x:c>
      <x:c r="J139" s="1" t="n">
        <x:v>4709</x:v>
      </x:c>
      <x:c r="K139" s="6" t="n">
        <x:v>6.01</x:v>
      </x:c>
      <x:c r="L139" s="10" t="n">
        <x:f>J139*K139</x:f>
        <x:v>28301.09</x:v>
      </x:c>
      <x:c r="M139" t="n">
        <x:f>G139-F139</x:f>
        <x:v>1</x:v>
      </x:c>
      <x:c r="N139" t="n">
        <x:f>H139-F139</x:f>
        <x:v>3</x:v>
      </x:c>
    </x:row>
    <x:row r="140">
      <x:c r="A140" s="1" t="str">
        <x:v>PO0139</x:v>
      </x:c>
      <x:c r="B140" s="1" t="str">
        <x:v>SUP09</x:v>
      </x:c>
      <x:c r="C140" s="1" t="str">
        <x:v>Peru</x:v>
      </x:c>
      <x:c r="D140" s="1" t="str">
        <x:v>Maintenance services</x:v>
      </x:c>
      <x:c r="E140" s="1" t="str">
        <x:v>Buyer 3</x:v>
      </x:c>
      <x:c r="F140" s="5" t="n">
        <x:v>46239</x:v>
      </x:c>
      <x:c r="G140" s="5" t="n">
        <x:v>46243</x:v>
      </x:c>
      <x:c r="H140" s="5" t="n">
        <x:v>46244</x:v>
      </x:c>
      <x:c r="I140" s="5" t="n">
        <x:v>46264</x:v>
      </x:c>
      <x:c r="J140" s="1" t="n">
        <x:v>3706</x:v>
      </x:c>
      <x:c r="K140" s="6" t="n">
        <x:v>12.15</x:v>
      </x:c>
      <x:c r="L140" s="10" t="n">
        <x:f>J140*K140</x:f>
        <x:v>45027.9</x:v>
      </x:c>
      <x:c r="M140" t="n">
        <x:f>G140-F140</x:f>
        <x:v>4</x:v>
      </x:c>
      <x:c r="N140" t="n">
        <x:f>H140-F140</x:f>
        <x:v>5</x:v>
      </x:c>
    </x:row>
    <x:row r="141">
      <x:c r="A141" s="1" t="str">
        <x:v>PO0140</x:v>
      </x:c>
      <x:c r="B141" s="1" t="str">
        <x:v>SUP02</x:v>
      </x:c>
      <x:c r="C141" s="1" t="str">
        <x:v>Chile</x:v>
      </x:c>
      <x:c r="D141" s="1" t="str">
        <x:v>Ingredients</x:v>
      </x:c>
      <x:c r="E141" s="1" t="str">
        <x:v>Buyer 4</x:v>
      </x:c>
      <x:c r="F141" s="5" t="n">
        <x:v>46042</x:v>
      </x:c>
      <x:c r="G141" s="5" t="n">
        <x:v>46046</x:v>
      </x:c>
      <x:c r="H141" s="5" t="n">
        <x:v>46047</x:v>
      </x:c>
      <x:c r="I141" s="5" t="n">
        <x:v>46062</x:v>
      </x:c>
      <x:c r="J141" s="1" t="n">
        <x:v>4430</x:v>
      </x:c>
      <x:c r="K141" s="6" t="n">
        <x:v>22.7</x:v>
      </x:c>
      <x:c r="L141" s="10" t="n">
        <x:f>J141*K141</x:f>
        <x:v>100561</x:v>
      </x:c>
      <x:c r="M141" t="n">
        <x:f>G141-F141</x:f>
        <x:v>4</x:v>
      </x:c>
      <x:c r="N141" t="n">
        <x:f>H141-F141</x:f>
        <x:v>5</x:v>
      </x:c>
    </x:row>
    <x:row r="142">
      <x:c r="A142" s="1" t="str">
        <x:v>PO0141</x:v>
      </x:c>
      <x:c r="B142" s="1" t="str">
        <x:v>SUP11</x:v>
      </x:c>
      <x:c r="C142" s="1" t="str">
        <x:v>Panama</x:v>
      </x:c>
      <x:c r="D142" s="1" t="str">
        <x:v>Ingredients</x:v>
      </x:c>
      <x:c r="E142" s="1" t="str">
        <x:v>Buyer 1</x:v>
      </x:c>
      <x:c r="F142" s="5" t="n">
        <x:v>46162</x:v>
      </x:c>
      <x:c r="G142" s="5" t="n">
        <x:v>46164</x:v>
      </x:c>
      <x:c r="H142" s="5" t="n">
        <x:v>46166</x:v>
      </x:c>
      <x:c r="I142" s="5" t="n">
        <x:v>46187</x:v>
      </x:c>
      <x:c r="J142" s="1" t="n">
        <x:v>2951</x:v>
      </x:c>
      <x:c r="K142" s="6" t="n">
        <x:v>19.23</x:v>
      </x:c>
      <x:c r="L142" s="10" t="n">
        <x:f>J142*K142</x:f>
        <x:v>56747.73</x:v>
      </x:c>
      <x:c r="M142" t="n">
        <x:f>G142-F142</x:f>
        <x:v>2</x:v>
      </x:c>
      <x:c r="N142" t="n">
        <x:f>H142-F142</x:f>
        <x:v>4</x:v>
      </x:c>
    </x:row>
    <x:row r="143">
      <x:c r="A143" s="1" t="str">
        <x:v>PO0142</x:v>
      </x:c>
      <x:c r="B143" s="1" t="str">
        <x:v>SUP08</x:v>
      </x:c>
      <x:c r="C143" s="1" t="str">
        <x:v>Mexico</x:v>
      </x:c>
      <x:c r="D143" s="1" t="str">
        <x:v>Ingredients</x:v>
      </x:c>
      <x:c r="E143" s="1" t="str">
        <x:v>Buyer 2</x:v>
      </x:c>
      <x:c r="F143" s="5" t="n">
        <x:v>46141</x:v>
      </x:c>
      <x:c r="G143" s="5" t="n">
        <x:v>46145</x:v>
      </x:c>
      <x:c r="H143" s="5" t="n">
        <x:v>46146</x:v>
      </x:c>
      <x:c r="I143" s="5" t="n">
        <x:v>46164</x:v>
      </x:c>
      <x:c r="J143" s="1" t="n">
        <x:v>204</x:v>
      </x:c>
      <x:c r="K143" s="6" t="n">
        <x:v>22.35</x:v>
      </x:c>
      <x:c r="L143" s="10" t="n">
        <x:f>J143*K143</x:f>
        <x:v>4559.400000000001</x:v>
      </x:c>
      <x:c r="M143" t="n">
        <x:f>G143-F143</x:f>
        <x:v>4</x:v>
      </x:c>
      <x:c r="N143" t="n">
        <x:f>H143-F143</x:f>
        <x:v>5</x:v>
      </x:c>
    </x:row>
    <x:row r="144">
      <x:c r="A144" s="1" t="str">
        <x:v>PO0143</x:v>
      </x:c>
      <x:c r="B144" s="1" t="str">
        <x:v>SUP03</x:v>
      </x:c>
      <x:c r="C144" s="1" t="str">
        <x:v>Colombia</x:v>
      </x:c>
      <x:c r="D144" s="1" t="str">
        <x:v>Maintenance services</x:v>
      </x:c>
      <x:c r="E144" s="1" t="str">
        <x:v>Buyer 3</x:v>
      </x:c>
      <x:c r="F144" s="5" t="n">
        <x:v>46033</x:v>
      </x:c>
      <x:c r="G144" s="5" t="n">
        <x:v>46036</x:v>
      </x:c>
      <x:c r="H144" s="5" t="n">
        <x:v>46036</x:v>
      </x:c>
      <x:c r="I144" s="5" t="n">
        <x:v>46044</x:v>
      </x:c>
      <x:c r="J144" s="1" t="n">
        <x:v>2930</x:v>
      </x:c>
      <x:c r="K144" s="6" t="n">
        <x:v>8.68</x:v>
      </x:c>
      <x:c r="L144" s="10" t="n">
        <x:f>J144*K144</x:f>
        <x:v>25432.399999999998</x:v>
      </x:c>
      <x:c r="M144" t="n">
        <x:f>G144-F144</x:f>
        <x:v>3</x:v>
      </x:c>
      <x:c r="N144" t="n">
        <x:f>H144-F144</x:f>
        <x:v>3</x:v>
      </x:c>
    </x:row>
    <x:row r="145">
      <x:c r="A145" s="1" t="str">
        <x:v>PO0144</x:v>
      </x:c>
      <x:c r="B145" s="1" t="str">
        <x:v>SUP03</x:v>
      </x:c>
      <x:c r="C145" s="1" t="str">
        <x:v>Costa Rica</x:v>
      </x:c>
      <x:c r="D145" s="1" t="str">
        <x:v>Maintenance services</x:v>
      </x:c>
      <x:c r="E145" s="1" t="str">
        <x:v>Buyer 4</x:v>
      </x:c>
      <x:c r="F145" s="5" t="n">
        <x:v>46206</x:v>
      </x:c>
      <x:c r="G145" s="5" t="n">
        <x:v>46209</x:v>
      </x:c>
      <x:c r="H145" s="5" t="n">
        <x:v>46210</x:v>
      </x:c>
      <x:c r="I145" s="5" t="n">
        <x:v>46218</x:v>
      </x:c>
      <x:c r="J145" s="1" t="n">
        <x:v>2648</x:v>
      </x:c>
      <x:c r="K145" s="6" t="n">
        <x:v>21.24</x:v>
      </x:c>
      <x:c r="L145" s="10" t="n">
        <x:f>J145*K145</x:f>
        <x:v>56243.52</x:v>
      </x:c>
      <x:c r="M145" t="n">
        <x:f>G145-F145</x:f>
        <x:v>3</x:v>
      </x:c>
      <x:c r="N145" t="n">
        <x:f>H145-F145</x:f>
        <x:v>4</x:v>
      </x:c>
    </x:row>
    <x:row r="146">
      <x:c r="A146" s="1" t="str">
        <x:v>PO0145</x:v>
      </x:c>
      <x:c r="B146" s="1" t="str">
        <x:v>SUP08</x:v>
      </x:c>
      <x:c r="C146" s="1" t="str">
        <x:v>Guatemala</x:v>
      </x:c>
      <x:c r="D146" s="1" t="str">
        <x:v>Ingredients</x:v>
      </x:c>
      <x:c r="E146" s="1" t="str">
        <x:v>Buyer 1</x:v>
      </x:c>
      <x:c r="F146" s="5" t="n">
        <x:v>46159</x:v>
      </x:c>
      <x:c r="G146" s="5" t="n">
        <x:v>46160</x:v>
      </x:c>
      <x:c r="H146" s="5" t="n">
        <x:v>46162</x:v>
      </x:c>
      <x:c r="I146" s="5" t="n">
        <x:v>46180</x:v>
      </x:c>
      <x:c r="J146" s="1" t="n">
        <x:v>2358</x:v>
      </x:c>
      <x:c r="K146" s="6" t="n">
        <x:v>20.02</x:v>
      </x:c>
      <x:c r="L146" s="10" t="n">
        <x:f>J146*K146</x:f>
        <x:v>47207.159999999996</x:v>
      </x:c>
      <x:c r="M146" t="n">
        <x:f>G146-F146</x:f>
        <x:v>1</x:v>
      </x:c>
      <x:c r="N146" t="n">
        <x:f>H146-F146</x:f>
        <x:v>3</x:v>
      </x:c>
    </x:row>
    <x:row r="147">
      <x:c r="A147" s="1" t="str">
        <x:v>PO0146</x:v>
      </x:c>
      <x:c r="B147" s="1" t="str">
        <x:v>SUP02</x:v>
      </x:c>
      <x:c r="C147" s="1" t="str">
        <x:v>Peru</x:v>
      </x:c>
      <x:c r="D147" s="1" t="str">
        <x:v>Ingredients</x:v>
      </x:c>
      <x:c r="E147" s="1" t="str">
        <x:v>Buyer 2</x:v>
      </x:c>
      <x:c r="F147" s="5" t="n">
        <x:v>46035</x:v>
      </x:c>
      <x:c r="G147" s="5" t="n">
        <x:v>46038</x:v>
      </x:c>
      <x:c r="H147" s="5" t="n">
        <x:v>46040</x:v>
      </x:c>
      <x:c r="I147" s="5" t="n">
        <x:v>46057</x:v>
      </x:c>
      <x:c r="J147" s="1" t="n">
        <x:v>2887</x:v>
      </x:c>
      <x:c r="K147" s="6" t="n">
        <x:v>5.17</x:v>
      </x:c>
      <x:c r="L147" s="10" t="n">
        <x:f>J147*K147</x:f>
        <x:v>14925.789999999999</x:v>
      </x:c>
      <x:c r="M147" t="n">
        <x:f>G147-F147</x:f>
        <x:v>3</x:v>
      </x:c>
      <x:c r="N147" t="n">
        <x:f>H147-F147</x:f>
        <x:v>5</x:v>
      </x:c>
    </x:row>
    <x:row r="148">
      <x:c r="A148" s="1" t="str">
        <x:v>PO0147</x:v>
      </x:c>
      <x:c r="B148" s="1" t="str">
        <x:v>SUP06</x:v>
      </x:c>
      <x:c r="C148" s="1" t="str">
        <x:v>Chile</x:v>
      </x:c>
      <x:c r="D148" s="1" t="str">
        <x:v>Maintenance services</x:v>
      </x:c>
      <x:c r="E148" s="1" t="str">
        <x:v>Buyer 3</x:v>
      </x:c>
      <x:c r="F148" s="5" t="n">
        <x:v>46091</x:v>
      </x:c>
      <x:c r="G148" s="5" t="n">
        <x:v>46092</x:v>
      </x:c>
      <x:c r="H148" s="5" t="n">
        <x:v>46094</x:v>
      </x:c>
      <x:c r="I148" s="5" t="n">
        <x:v>46111</x:v>
      </x:c>
      <x:c r="J148" s="1" t="n">
        <x:v>2032</x:v>
      </x:c>
      <x:c r="K148" s="6" t="n">
        <x:v>2.88</x:v>
      </x:c>
      <x:c r="L148" s="10" t="n">
        <x:f>J148*K148</x:f>
        <x:v>5852.16</x:v>
      </x:c>
      <x:c r="M148" t="n">
        <x:f>G148-F148</x:f>
        <x:v>1</x:v>
      </x:c>
      <x:c r="N148" t="n">
        <x:f>H148-F148</x:f>
        <x:v>3</x:v>
      </x:c>
    </x:row>
    <x:row r="149">
      <x:c r="A149" s="1" t="str">
        <x:v>PO0148</x:v>
      </x:c>
      <x:c r="B149" s="1" t="str">
        <x:v>SUP03</x:v>
      </x:c>
      <x:c r="C149" s="1" t="str">
        <x:v>Panama</x:v>
      </x:c>
      <x:c r="D149" s="1" t="str">
        <x:v>Maintenance services</x:v>
      </x:c>
      <x:c r="E149" s="1" t="str">
        <x:v>Buyer 4</x:v>
      </x:c>
      <x:c r="F149" s="5" t="n">
        <x:v>46121</x:v>
      </x:c>
      <x:c r="G149" s="5" t="n">
        <x:v>46127</x:v>
      </x:c>
      <x:c r="H149" s="5" t="n">
        <x:v>46128</x:v>
      </x:c>
      <x:c r="I149" s="5" t="n">
        <x:v>46149</x:v>
      </x:c>
      <x:c r="J149" s="1" t="n">
        <x:v>1362</x:v>
      </x:c>
      <x:c r="K149" s="6" t="n">
        <x:v>7.23</x:v>
      </x:c>
      <x:c r="L149" s="10" t="n">
        <x:f>J149*K149</x:f>
        <x:v>9847.26</x:v>
      </x:c>
      <x:c r="M149" t="n">
        <x:f>G149-F149</x:f>
        <x:v>6</x:v>
      </x:c>
      <x:c r="N149" t="n">
        <x:f>H149-F149</x:f>
        <x:v>7</x:v>
      </x:c>
    </x:row>
    <x:row r="150">
      <x:c r="A150" s="1" t="str">
        <x:v>PO0149</x:v>
      </x:c>
      <x:c r="B150" s="1" t="str">
        <x:v>SUP05</x:v>
      </x:c>
      <x:c r="C150" s="1" t="str">
        <x:v>Mexico</x:v>
      </x:c>
      <x:c r="D150" s="1" t="str">
        <x:v>Ingredients</x:v>
      </x:c>
      <x:c r="E150" s="1" t="str">
        <x:v>Buyer 1</x:v>
      </x:c>
      <x:c r="F150" s="5" t="n">
        <x:v>46095</x:v>
      </x:c>
      <x:c r="G150" s="5" t="n">
        <x:v>46097</x:v>
      </x:c>
      <x:c r="H150" s="5" t="n">
        <x:v>46098</x:v>
      </x:c>
      <x:c r="I150" s="5" t="n">
        <x:v>46105</x:v>
      </x:c>
      <x:c r="J150" s="1" t="n">
        <x:v>3887</x:v>
      </x:c>
      <x:c r="K150" s="6" t="n">
        <x:v>6.05</x:v>
      </x:c>
      <x:c r="L150" s="10" t="n">
        <x:f>J150*K150</x:f>
        <x:v>23516.35</x:v>
      </x:c>
      <x:c r="M150" t="n">
        <x:f>G150-F150</x:f>
        <x:v>2</x:v>
      </x:c>
      <x:c r="N150" t="n">
        <x:f>H150-F150</x:f>
        <x:v>3</x:v>
      </x:c>
    </x:row>
    <x:row r="151">
      <x:c r="A151" s="1" t="str">
        <x:v>PO0150</x:v>
      </x:c>
      <x:c r="B151" s="1" t="str">
        <x:v>SUP13</x:v>
      </x:c>
      <x:c r="C151" s="1" t="str">
        <x:v>Colombia</x:v>
      </x:c>
      <x:c r="D151" s="1" t="str">
        <x:v>Packaging</x:v>
      </x:c>
      <x:c r="E151" s="1" t="str">
        <x:v>Buyer 2</x:v>
      </x:c>
      <x:c r="F151" s="5" t="n">
        <x:v>46256</x:v>
      </x:c>
      <x:c r="G151" s="5" t="n">
        <x:v>46259</x:v>
      </x:c>
      <x:c r="H151" s="5" t="n">
        <x:v>46259</x:v>
      </x:c>
      <x:c r="I151" s="5" t="n">
        <x:v>46276</x:v>
      </x:c>
      <x:c r="J151" s="1" t="n">
        <x:v>2496</x:v>
      </x:c>
      <x:c r="K151" s="6" t="n">
        <x:v>1.79</x:v>
      </x:c>
      <x:c r="L151" s="10" t="n">
        <x:f>J151*K151</x:f>
        <x:v>4467.84</x:v>
      </x:c>
      <x:c r="M151" t="n">
        <x:f>G151-F151</x:f>
        <x:v>3</x:v>
      </x:c>
      <x:c r="N151" t="n">
        <x:f>H151-F151</x:f>
        <x:v>3</x:v>
      </x:c>
    </x:row>
    <x:row r="152">
      <x:c r="A152" s="1" t="str">
        <x:v>PO0151</x:v>
      </x:c>
      <x:c r="B152" s="1" t="str">
        <x:v>SUP08</x:v>
      </x:c>
      <x:c r="C152" s="1" t="str">
        <x:v>Costa Rica</x:v>
      </x:c>
      <x:c r="D152" s="1" t="str">
        <x:v>Ingredients</x:v>
      </x:c>
      <x:c r="E152" s="1" t="str">
        <x:v>Buyer 3</x:v>
      </x:c>
      <x:c r="F152" s="5" t="n">
        <x:v>46165</x:v>
      </x:c>
      <x:c r="G152" s="5" t="n">
        <x:v>46167</x:v>
      </x:c>
      <x:c r="H152" s="5" t="n">
        <x:v>46167</x:v>
      </x:c>
      <x:c r="I152" s="5" t="n">
        <x:v>46185</x:v>
      </x:c>
      <x:c r="J152" s="1" t="n">
        <x:v>3891</x:v>
      </x:c>
      <x:c r="K152" s="6" t="n">
        <x:v>4.66</x:v>
      </x:c>
      <x:c r="L152" s="10" t="n">
        <x:f>J152*K152</x:f>
        <x:v>18132.06</x:v>
      </x:c>
      <x:c r="M152" t="n">
        <x:f>G152-F152</x:f>
        <x:v>2</x:v>
      </x:c>
      <x:c r="N152" t="n">
        <x:f>H152-F152</x:f>
        <x:v>2</x:v>
      </x:c>
    </x:row>
    <x:row r="153">
      <x:c r="A153" s="1" t="str">
        <x:v>PO0152</x:v>
      </x:c>
      <x:c r="B153" s="1" t="str">
        <x:v>SUP03</x:v>
      </x:c>
      <x:c r="C153" s="1" t="str">
        <x:v>Guatemala</x:v>
      </x:c>
      <x:c r="D153" s="1" t="str">
        <x:v>Maintenance services</x:v>
      </x:c>
      <x:c r="E153" s="1" t="str">
        <x:v>Buyer 4</x:v>
      </x:c>
      <x:c r="F153" s="5" t="n">
        <x:v>46219</x:v>
      </x:c>
      <x:c r="G153" s="5" t="n">
        <x:v>46227</x:v>
      </x:c>
      <x:c r="H153" s="5" t="n">
        <x:v>46229</x:v>
      </x:c>
      <x:c r="I153" s="5" t="n">
        <x:v>46254</x:v>
      </x:c>
      <x:c r="J153" s="1" t="n">
        <x:v>3453</x:v>
      </x:c>
      <x:c r="K153" s="6" t="n">
        <x:v>5.12</x:v>
      </x:c>
      <x:c r="L153" s="10" t="n">
        <x:f>J153*K153</x:f>
        <x:v>17679.36</x:v>
      </x:c>
      <x:c r="M153" t="n">
        <x:f>G153-F153</x:f>
        <x:v>8</x:v>
      </x:c>
      <x:c r="N153" t="n">
        <x:f>H153-F153</x:f>
        <x:v>10</x:v>
      </x:c>
    </x:row>
    <x:row r="154">
      <x:c r="A154" s="1" t="str">
        <x:v>PO0153</x:v>
      </x:c>
      <x:c r="B154" s="1" t="str">
        <x:v>SUP01</x:v>
      </x:c>
      <x:c r="C154" s="1" t="str">
        <x:v>Peru</x:v>
      </x:c>
      <x:c r="D154" s="1" t="str">
        <x:v>Packaging</x:v>
      </x:c>
      <x:c r="E154" s="1" t="str">
        <x:v>Buyer 1</x:v>
      </x:c>
      <x:c r="F154" s="5" t="n">
        <x:v>46064</x:v>
      </x:c>
      <x:c r="G154" s="5" t="n">
        <x:v>46068</x:v>
      </x:c>
      <x:c r="H154" s="5" t="n">
        <x:v>46070</x:v>
      </x:c>
      <x:c r="I154" s="5" t="n">
        <x:v>46081</x:v>
      </x:c>
      <x:c r="J154" s="1" t="n">
        <x:v>3284</x:v>
      </x:c>
      <x:c r="K154" s="6" t="n">
        <x:v>4.8</x:v>
      </x:c>
      <x:c r="L154" s="10" t="n">
        <x:f>J154*K154</x:f>
        <x:v>15763.199999999999</x:v>
      </x:c>
      <x:c r="M154" t="n">
        <x:f>G154-F154</x:f>
        <x:v>4</x:v>
      </x:c>
      <x:c r="N154" t="n">
        <x:f>H154-F154</x:f>
        <x:v>6</x:v>
      </x:c>
    </x:row>
    <x:row r="155">
      <x:c r="A155" s="1" t="str">
        <x:v>PO0154</x:v>
      </x:c>
      <x:c r="B155" s="1" t="str">
        <x:v>SUP02</x:v>
      </x:c>
      <x:c r="C155" s="1" t="str">
        <x:v>Chile</x:v>
      </x:c>
      <x:c r="D155" s="1" t="str">
        <x:v>Ingredients</x:v>
      </x:c>
      <x:c r="E155" s="1" t="str">
        <x:v>Buyer 2</x:v>
      </x:c>
      <x:c r="F155" s="5" t="n">
        <x:v>46046</x:v>
      </x:c>
      <x:c r="G155" s="5" t="n">
        <x:v>46047</x:v>
      </x:c>
      <x:c r="H155" s="5" t="n">
        <x:v>46048</x:v>
      </x:c>
      <x:c r="I155" s="5" t="n">
        <x:v>46068</x:v>
      </x:c>
      <x:c r="J155" s="1" t="n">
        <x:v>4734</x:v>
      </x:c>
      <x:c r="K155" s="6" t="n">
        <x:v>9.4</x:v>
      </x:c>
      <x:c r="L155" s="10" t="n">
        <x:f>J155*K155</x:f>
        <x:v>44499.6</x:v>
      </x:c>
      <x:c r="M155" t="n">
        <x:f>G155-F155</x:f>
        <x:v>1</x:v>
      </x:c>
      <x:c r="N155" t="n">
        <x:f>H155-F155</x:f>
        <x:v>2</x:v>
      </x:c>
    </x:row>
    <x:row r="156">
      <x:c r="A156" s="1" t="str">
        <x:v>PO0155</x:v>
      </x:c>
      <x:c r="B156" s="1" t="str">
        <x:v>SUP02</x:v>
      </x:c>
      <x:c r="C156" s="1" t="str">
        <x:v>Panama</x:v>
      </x:c>
      <x:c r="D156" s="1" t="str">
        <x:v>Ingredients</x:v>
      </x:c>
      <x:c r="E156" s="1" t="str">
        <x:v>Buyer 3</x:v>
      </x:c>
      <x:c r="F156" s="5" t="n">
        <x:v>46033</x:v>
      </x:c>
      <x:c r="G156" s="5" t="n">
        <x:v>46037</x:v>
      </x:c>
      <x:c r="H156" s="5" t="n">
        <x:v>46038</x:v>
      </x:c>
      <x:c r="I156" s="5" t="n">
        <x:v>46054</x:v>
      </x:c>
      <x:c r="J156" s="1" t="n">
        <x:v>3086</x:v>
      </x:c>
      <x:c r="K156" s="6" t="n">
        <x:v>11.35</x:v>
      </x:c>
      <x:c r="L156" s="10" t="n">
        <x:f>J156*K156</x:f>
        <x:v>35026.1</x:v>
      </x:c>
      <x:c r="M156" t="n">
        <x:f>G156-F156</x:f>
        <x:v>4</x:v>
      </x:c>
      <x:c r="N156" t="n">
        <x:f>H156-F156</x:f>
        <x:v>5</x:v>
      </x:c>
    </x:row>
    <x:row r="157">
      <x:c r="A157" s="1" t="str">
        <x:v>PO0156</x:v>
      </x:c>
      <x:c r="B157" s="1" t="str">
        <x:v>SUP14</x:v>
      </x:c>
      <x:c r="C157" s="1" t="str">
        <x:v>Mexico</x:v>
      </x:c>
      <x:c r="D157" s="1" t="str">
        <x:v>Ingredients</x:v>
      </x:c>
      <x:c r="E157" s="1" t="str">
        <x:v>Buyer 4</x:v>
      </x:c>
      <x:c r="F157" s="5" t="n">
        <x:v>46203</x:v>
      </x:c>
      <x:c r="G157" s="5" t="n">
        <x:v>46206</x:v>
      </x:c>
      <x:c r="H157" s="5" t="n">
        <x:v>46207</x:v>
      </x:c>
      <x:c r="I157" s="5" t="n">
        <x:v>46218</x:v>
      </x:c>
      <x:c r="J157" s="1" t="n">
        <x:v>1137</x:v>
      </x:c>
      <x:c r="K157" s="6" t="n">
        <x:v>6.09</x:v>
      </x:c>
      <x:c r="L157" s="10" t="n">
        <x:f>J157*K157</x:f>
        <x:v>6924.33</x:v>
      </x:c>
      <x:c r="M157" t="n">
        <x:f>G157-F157</x:f>
        <x:v>3</x:v>
      </x:c>
      <x:c r="N157" t="n">
        <x:f>H157-F157</x:f>
        <x:v>4</x:v>
      </x:c>
    </x:row>
    <x:row r="158">
      <x:c r="A158" s="1" t="str">
        <x:v>PO0157</x:v>
      </x:c>
      <x:c r="B158" s="1" t="str">
        <x:v>SUP10</x:v>
      </x:c>
      <x:c r="C158" s="1" t="str">
        <x:v>Colombia</x:v>
      </x:c>
      <x:c r="D158" s="1" t="str">
        <x:v>Packaging</x:v>
      </x:c>
      <x:c r="E158" s="1" t="str">
        <x:v>Buyer 1</x:v>
      </x:c>
      <x:c r="F158" s="5" t="n">
        <x:v>46042</x:v>
      </x:c>
      <x:c r="G158" s="5" t="n">
        <x:v>46043</x:v>
      </x:c>
      <x:c r="H158" s="5" t="n">
        <x:v>46043</x:v>
      </x:c>
      <x:c r="I158" s="5" t="n">
        <x:v>46051</x:v>
      </x:c>
      <x:c r="J158" s="1" t="n">
        <x:v>4448</x:v>
      </x:c>
      <x:c r="K158" s="6" t="n">
        <x:v>19.77</x:v>
      </x:c>
      <x:c r="L158" s="10" t="n">
        <x:f>J158*K158</x:f>
        <x:v>87936.95999999999</x:v>
      </x:c>
      <x:c r="M158" t="n">
        <x:f>G158-F158</x:f>
        <x:v>1</x:v>
      </x:c>
      <x:c r="N158" t="n">
        <x:f>H158-F158</x:f>
        <x:v>1</x:v>
      </x:c>
    </x:row>
    <x:row r="159">
      <x:c r="A159" s="1" t="str">
        <x:v>PO0158</x:v>
      </x:c>
      <x:c r="B159" s="1" t="str">
        <x:v>SUP11</x:v>
      </x:c>
      <x:c r="C159" s="1" t="str">
        <x:v>Costa Rica</x:v>
      </x:c>
      <x:c r="D159" s="1" t="str">
        <x:v>Ingredients</x:v>
      </x:c>
      <x:c r="E159" s="1" t="str">
        <x:v>Buyer 2</x:v>
      </x:c>
      <x:c r="F159" s="5" t="n">
        <x:v>46176</x:v>
      </x:c>
      <x:c r="G159" s="5" t="n">
        <x:v>46181</x:v>
      </x:c>
      <x:c r="H159" s="5" t="n">
        <x:v>46181</x:v>
      </x:c>
      <x:c r="I159" s="5" t="n">
        <x:v>46191</x:v>
      </x:c>
      <x:c r="J159" s="1" t="n">
        <x:v>2346</x:v>
      </x:c>
      <x:c r="K159" s="6" t="n">
        <x:v>12.39</x:v>
      </x:c>
      <x:c r="L159" s="10" t="n">
        <x:f>J159*K159</x:f>
        <x:v>29066.940000000002</x:v>
      </x:c>
      <x:c r="M159" t="n">
        <x:f>G159-F159</x:f>
        <x:v>5</x:v>
      </x:c>
      <x:c r="N159" t="n">
        <x:f>H159-F159</x:f>
        <x:v>5</x:v>
      </x:c>
    </x:row>
    <x:row r="160">
      <x:c r="A160" s="1" t="str">
        <x:v>PO0159</x:v>
      </x:c>
      <x:c r="B160" s="1" t="str">
        <x:v>SUP08</x:v>
      </x:c>
      <x:c r="C160" s="1" t="str">
        <x:v>Guatemala</x:v>
      </x:c>
      <x:c r="D160" s="1" t="str">
        <x:v>Ingredients</x:v>
      </x:c>
      <x:c r="E160" s="1" t="str">
        <x:v>Buyer 3</x:v>
      </x:c>
      <x:c r="F160" s="5" t="n">
        <x:v>46200</x:v>
      </x:c>
      <x:c r="G160" s="5" t="n">
        <x:v>46203</x:v>
      </x:c>
      <x:c r="H160" s="5" t="n">
        <x:v>46204</x:v>
      </x:c>
      <x:c r="I160" s="5" t="n">
        <x:v>46229</x:v>
      </x:c>
      <x:c r="J160" s="1" t="n">
        <x:v>4364</x:v>
      </x:c>
      <x:c r="K160" s="6" t="n">
        <x:v>4.67</x:v>
      </x:c>
      <x:c r="L160" s="10" t="n">
        <x:f>J160*K160</x:f>
        <x:v>20379.88</x:v>
      </x:c>
      <x:c r="M160" t="n">
        <x:f>G160-F160</x:f>
        <x:v>3</x:v>
      </x:c>
      <x:c r="N160" t="n">
        <x:f>H160-F160</x:f>
        <x:v>4</x:v>
      </x:c>
    </x:row>
    <x:row r="161">
      <x:c r="A161" s="1" t="str">
        <x:v>PO0160</x:v>
      </x:c>
      <x:c r="B161" s="1" t="str">
        <x:v>SUP09</x:v>
      </x:c>
      <x:c r="C161" s="1" t="str">
        <x:v>Peru</x:v>
      </x:c>
      <x:c r="D161" s="1" t="str">
        <x:v>Maintenance services</x:v>
      </x:c>
      <x:c r="E161" s="1" t="str">
        <x:v>Buyer 4</x:v>
      </x:c>
      <x:c r="F161" s="5" t="n">
        <x:v>46253</x:v>
      </x:c>
      <x:c r="G161" s="5" t="n">
        <x:v>46257</x:v>
      </x:c>
      <x:c r="H161" s="5" t="n">
        <x:v>46257</x:v>
      </x:c>
      <x:c r="I161" s="5" t="n">
        <x:v>46269</x:v>
      </x:c>
      <x:c r="J161" s="1" t="n">
        <x:v>374</x:v>
      </x:c>
      <x:c r="K161" s="6" t="n">
        <x:v>17.36</x:v>
      </x:c>
      <x:c r="L161" s="10" t="n">
        <x:f>J161*K161</x:f>
        <x:v>6492.639999999999</x:v>
      </x:c>
      <x:c r="M161" t="n">
        <x:f>G161-F161</x:f>
        <x:v>4</x:v>
      </x:c>
      <x:c r="N161" t="n">
        <x:f>H161-F161</x:f>
        <x:v>4</x:v>
      </x:c>
    </x:row>
    <x:row r="162">
      <x:c r="A162" s="1" t="str">
        <x:v>PO0161</x:v>
      </x:c>
      <x:c r="B162" s="1" t="str">
        <x:v>SUP07</x:v>
      </x:c>
      <x:c r="C162" s="1" t="str">
        <x:v>Chile</x:v>
      </x:c>
      <x:c r="D162" s="1" t="str">
        <x:v>Packaging</x:v>
      </x:c>
      <x:c r="E162" s="1" t="str">
        <x:v>Buyer 1</x:v>
      </x:c>
      <x:c r="F162" s="5" t="n">
        <x:v>46104</x:v>
      </x:c>
      <x:c r="G162" s="5" t="n">
        <x:v>46107</x:v>
      </x:c>
      <x:c r="H162" s="5" t="n">
        <x:v>46107</x:v>
      </x:c>
      <x:c r="I162" s="5" t="n">
        <x:v>46130</x:v>
      </x:c>
      <x:c r="J162" s="1" t="n">
        <x:v>4114</x:v>
      </x:c>
      <x:c r="K162" s="6" t="n">
        <x:v>5.12</x:v>
      </x:c>
      <x:c r="L162" s="10" t="n">
        <x:f>J162*K162</x:f>
        <x:v>21063.68</x:v>
      </x:c>
      <x:c r="M162" t="n">
        <x:f>G162-F162</x:f>
        <x:v>3</x:v>
      </x:c>
      <x:c r="N162" t="n">
        <x:f>H162-F162</x:f>
        <x:v>3</x:v>
      </x:c>
    </x:row>
    <x:row r="163">
      <x:c r="A163" s="1" t="str">
        <x:v>PO0162</x:v>
      </x:c>
      <x:c r="B163" s="1" t="str">
        <x:v>SUP09</x:v>
      </x:c>
      <x:c r="C163" s="1" t="str">
        <x:v>Panama</x:v>
      </x:c>
      <x:c r="D163" s="1" t="str">
        <x:v>Maintenance services</x:v>
      </x:c>
      <x:c r="E163" s="1" t="str">
        <x:v>Buyer 2</x:v>
      </x:c>
      <x:c r="F163" s="5" t="n">
        <x:v>46087</x:v>
      </x:c>
      <x:c r="G163" s="5" t="n">
        <x:v>46091</x:v>
      </x:c>
      <x:c r="H163" s="5" t="n">
        <x:v>46092</x:v>
      </x:c>
      <x:c r="I163" s="5" t="n">
        <x:v>46103</x:v>
      </x:c>
      <x:c r="J163" s="1" t="n">
        <x:v>3573</x:v>
      </x:c>
      <x:c r="K163" s="6" t="n">
        <x:v>5.83</x:v>
      </x:c>
      <x:c r="L163" s="10" t="n">
        <x:f>J163*K163</x:f>
        <x:v>20830.59</x:v>
      </x:c>
      <x:c r="M163" t="n">
        <x:f>G163-F163</x:f>
        <x:v>4</x:v>
      </x:c>
      <x:c r="N163" t="n">
        <x:f>H163-F163</x:f>
        <x:v>5</x:v>
      </x:c>
    </x:row>
    <x:row r="164">
      <x:c r="A164" s="1" t="str">
        <x:v>PO0163</x:v>
      </x:c>
      <x:c r="B164" s="1" t="str">
        <x:v>SUP13</x:v>
      </x:c>
      <x:c r="C164" s="1" t="str">
        <x:v>Mexico</x:v>
      </x:c>
      <x:c r="D164" s="1" t="str">
        <x:v>Packaging</x:v>
      </x:c>
      <x:c r="E164" s="1" t="str">
        <x:v>Buyer 3</x:v>
      </x:c>
      <x:c r="F164" s="5" t="n">
        <x:v>46197</x:v>
      </x:c>
      <x:c r="G164" s="5" t="n">
        <x:v>46199</x:v>
      </x:c>
      <x:c r="H164" s="5" t="n">
        <x:v>46199</x:v>
      </x:c>
      <x:c r="I164" s="5" t="n">
        <x:v>46214</x:v>
      </x:c>
      <x:c r="J164" s="1" t="n">
        <x:v>872</x:v>
      </x:c>
      <x:c r="K164" s="6" t="n">
        <x:v>3.85</x:v>
      </x:c>
      <x:c r="L164" s="10" t="n">
        <x:f>J164*K164</x:f>
        <x:v>3357.2000000000003</x:v>
      </x:c>
      <x:c r="M164" t="n">
        <x:f>G164-F164</x:f>
        <x:v>2</x:v>
      </x:c>
      <x:c r="N164" t="n">
        <x:f>H164-F164</x:f>
        <x:v>2</x:v>
      </x:c>
    </x:row>
    <x:row r="165">
      <x:c r="A165" s="1" t="str">
        <x:v>PO0164</x:v>
      </x:c>
      <x:c r="B165" s="1" t="str">
        <x:v>SUP05</x:v>
      </x:c>
      <x:c r="C165" s="1" t="str">
        <x:v>Colombia</x:v>
      </x:c>
      <x:c r="D165" s="1" t="str">
        <x:v>Ingredients</x:v>
      </x:c>
      <x:c r="E165" s="1" t="str">
        <x:v>Buyer 4</x:v>
      </x:c>
      <x:c r="F165" s="5" t="n">
        <x:v>46101</x:v>
      </x:c>
      <x:c r="G165" s="5" t="n">
        <x:v>46106</x:v>
      </x:c>
      <x:c r="H165" s="5" t="n">
        <x:v>46108</x:v>
      </x:c>
      <x:c r="I165" s="5" t="n">
        <x:v>46116</x:v>
      </x:c>
      <x:c r="J165" s="1" t="n">
        <x:v>4194</x:v>
      </x:c>
      <x:c r="K165" s="6" t="n">
        <x:v>3.49</x:v>
      </x:c>
      <x:c r="L165" s="10" t="n">
        <x:f>J165*K165</x:f>
        <x:v>14637.060000000001</x:v>
      </x:c>
      <x:c r="M165" t="n">
        <x:f>G165-F165</x:f>
        <x:v>5</x:v>
      </x:c>
      <x:c r="N165" t="n">
        <x:f>H165-F165</x:f>
        <x:v>7</x:v>
      </x:c>
    </x:row>
    <x:row r="166">
      <x:c r="A166" s="1" t="str">
        <x:v>PO0165</x:v>
      </x:c>
      <x:c r="B166" s="1" t="str">
        <x:v>SUP14</x:v>
      </x:c>
      <x:c r="C166" s="1" t="str">
        <x:v>Costa Rica</x:v>
      </x:c>
      <x:c r="D166" s="1" t="str">
        <x:v>Ingredients</x:v>
      </x:c>
      <x:c r="E166" s="1" t="str">
        <x:v>Buyer 1</x:v>
      </x:c>
      <x:c r="F166" s="5" t="n">
        <x:v>46124</x:v>
      </x:c>
      <x:c r="G166" s="5" t="n">
        <x:v>46126</x:v>
      </x:c>
      <x:c r="H166" s="5" t="n">
        <x:v>46128</x:v>
      </x:c>
      <x:c r="I166" s="5" t="n">
        <x:v>46142</x:v>
      </x:c>
      <x:c r="J166" s="1" t="n">
        <x:v>2188</x:v>
      </x:c>
      <x:c r="K166" s="6" t="n">
        <x:v>20.77</x:v>
      </x:c>
      <x:c r="L166" s="10" t="n">
        <x:f>J166*K166</x:f>
        <x:v>45444.76</x:v>
      </x:c>
      <x:c r="M166" t="n">
        <x:f>G166-F166</x:f>
        <x:v>2</x:v>
      </x:c>
      <x:c r="N166" t="n">
        <x:f>H166-F166</x:f>
        <x:v>4</x:v>
      </x:c>
    </x:row>
    <x:row r="167">
      <x:c r="A167" s="1" t="str">
        <x:v>PO0166</x:v>
      </x:c>
      <x:c r="B167" s="1" t="str">
        <x:v>SUP08</x:v>
      </x:c>
      <x:c r="C167" s="1" t="str">
        <x:v>Guatemala</x:v>
      </x:c>
      <x:c r="D167" s="1" t="str">
        <x:v>Ingredients</x:v>
      </x:c>
      <x:c r="E167" s="1" t="str">
        <x:v>Buyer 2</x:v>
      </x:c>
      <x:c r="F167" s="5" t="n">
        <x:v>46150</x:v>
      </x:c>
      <x:c r="G167" s="5" t="n">
        <x:v>46153</x:v>
      </x:c>
      <x:c r="H167" s="5" t="n">
        <x:v>46154</x:v>
      </x:c>
      <x:c r="I167" s="5" t="n">
        <x:v>46173</x:v>
      </x:c>
      <x:c r="J167" s="1" t="n">
        <x:v>3291</x:v>
      </x:c>
      <x:c r="K167" s="6" t="n">
        <x:v>3.45</x:v>
      </x:c>
      <x:c r="L167" s="10" t="n">
        <x:f>J167*K167</x:f>
        <x:v>11353.95</x:v>
      </x:c>
      <x:c r="M167" t="n">
        <x:f>G167-F167</x:f>
        <x:v>3</x:v>
      </x:c>
      <x:c r="N167" t="n">
        <x:f>H167-F167</x:f>
        <x:v>4</x:v>
      </x:c>
    </x:row>
    <x:row r="168">
      <x:c r="A168" s="1" t="str">
        <x:v>PO0167</x:v>
      </x:c>
      <x:c r="B168" s="1" t="str">
        <x:v>SUP07</x:v>
      </x:c>
      <x:c r="C168" s="1" t="str">
        <x:v>Peru</x:v>
      </x:c>
      <x:c r="D168" s="1" t="str">
        <x:v>Packaging</x:v>
      </x:c>
      <x:c r="E168" s="1" t="str">
        <x:v>Buyer 3</x:v>
      </x:c>
      <x:c r="F168" s="5" t="n">
        <x:v>46074</x:v>
      </x:c>
      <x:c r="G168" s="5" t="n">
        <x:v>46076</x:v>
      </x:c>
      <x:c r="H168" s="5" t="n">
        <x:v>46078</x:v>
      </x:c>
      <x:c r="I168" s="5" t="n">
        <x:v>46090</x:v>
      </x:c>
      <x:c r="J168" s="1" t="n">
        <x:v>1475</x:v>
      </x:c>
      <x:c r="K168" s="6" t="n">
        <x:v>13.65</x:v>
      </x:c>
      <x:c r="L168" s="10" t="n">
        <x:f>J168*K168</x:f>
        <x:v>20133.75</x:v>
      </x:c>
      <x:c r="M168" t="n">
        <x:f>G168-F168</x:f>
        <x:v>2</x:v>
      </x:c>
      <x:c r="N168" t="n">
        <x:f>H168-F168</x:f>
        <x:v>4</x:v>
      </x:c>
    </x:row>
    <x:row r="169">
      <x:c r="A169" s="1" t="str">
        <x:v>PO0168</x:v>
      </x:c>
      <x:c r="B169" s="1" t="str">
        <x:v>SUP05</x:v>
      </x:c>
      <x:c r="C169" s="1" t="str">
        <x:v>Chile</x:v>
      </x:c>
      <x:c r="D169" s="1" t="str">
        <x:v>Ingredients</x:v>
      </x:c>
      <x:c r="E169" s="1" t="str">
        <x:v>Buyer 4</x:v>
      </x:c>
      <x:c r="F169" s="5" t="n">
        <x:v>46075</x:v>
      </x:c>
      <x:c r="G169" s="5" t="n">
        <x:v>46080</x:v>
      </x:c>
      <x:c r="H169" s="5" t="n">
        <x:v>46080</x:v>
      </x:c>
      <x:c r="I169" s="5" t="n">
        <x:v>46100</x:v>
      </x:c>
      <x:c r="J169" s="1" t="n">
        <x:v>3488</x:v>
      </x:c>
      <x:c r="K169" s="6" t="n">
        <x:v>4.2</x:v>
      </x:c>
      <x:c r="L169" s="10" t="n">
        <x:f>J169*K169</x:f>
        <x:v>14649.6</x:v>
      </x:c>
      <x:c r="M169" t="n">
        <x:f>G169-F169</x:f>
        <x:v>5</x:v>
      </x:c>
      <x:c r="N169" t="n">
        <x:f>H169-F169</x:f>
        <x:v>5</x:v>
      </x:c>
    </x:row>
    <x:row r="170">
      <x:c r="A170" s="1" t="str">
        <x:v>PO0169</x:v>
      </x:c>
      <x:c r="B170" s="1" t="str">
        <x:v>SUP09</x:v>
      </x:c>
      <x:c r="C170" s="1" t="str">
        <x:v>Panama</x:v>
      </x:c>
      <x:c r="D170" s="1" t="str">
        <x:v>Maintenance services</x:v>
      </x:c>
      <x:c r="E170" s="1" t="str">
        <x:v>Buyer 1</x:v>
      </x:c>
      <x:c r="F170" s="5" t="n">
        <x:v>46152</x:v>
      </x:c>
      <x:c r="G170" s="5" t="n">
        <x:v>46155</x:v>
      </x:c>
      <x:c r="H170" s="5" t="n">
        <x:v>46156</x:v>
      </x:c>
      <x:c r="I170" s="5" t="n">
        <x:v>46168</x:v>
      </x:c>
      <x:c r="J170" s="1" t="n">
        <x:v>2729</x:v>
      </x:c>
      <x:c r="K170" s="6" t="n">
        <x:v>21.96</x:v>
      </x:c>
      <x:c r="L170" s="10" t="n">
        <x:f>J170*K170</x:f>
        <x:v>59928.840000000004</x:v>
      </x:c>
      <x:c r="M170" t="n">
        <x:f>G170-F170</x:f>
        <x:v>3</x:v>
      </x:c>
      <x:c r="N170" t="n">
        <x:f>H170-F170</x:f>
        <x:v>4</x:v>
      </x:c>
    </x:row>
    <x:row r="171">
      <x:c r="A171" s="1" t="str">
        <x:v>PO0170</x:v>
      </x:c>
      <x:c r="B171" s="1" t="str">
        <x:v>SUP10</x:v>
      </x:c>
      <x:c r="C171" s="1" t="str">
        <x:v>Mexico</x:v>
      </x:c>
      <x:c r="D171" s="1" t="str">
        <x:v>Packaging</x:v>
      </x:c>
      <x:c r="E171" s="1" t="str">
        <x:v>Buyer 2</x:v>
      </x:c>
      <x:c r="F171" s="5" t="n">
        <x:v>46137</x:v>
      </x:c>
      <x:c r="G171" s="5" t="n">
        <x:v>46138</x:v>
      </x:c>
      <x:c r="H171" s="5" t="n">
        <x:v>46139</x:v>
      </x:c>
      <x:c r="I171" s="5" t="n">
        <x:v>46159</x:v>
      </x:c>
      <x:c r="J171" s="1" t="n">
        <x:v>978</x:v>
      </x:c>
      <x:c r="K171" s="6" t="n">
        <x:v>14.14</x:v>
      </x:c>
      <x:c r="L171" s="10" t="n">
        <x:f>J171*K171</x:f>
        <x:v>13828.92</x:v>
      </x:c>
      <x:c r="M171" t="n">
        <x:f>G171-F171</x:f>
        <x:v>1</x:v>
      </x:c>
      <x:c r="N171" t="n">
        <x:f>H171-F171</x:f>
        <x:v>2</x:v>
      </x:c>
    </x:row>
    <x:row r="172">
      <x:c r="A172" s="1" t="str">
        <x:v>PO0171</x:v>
      </x:c>
      <x:c r="B172" s="1" t="str">
        <x:v>SUP03</x:v>
      </x:c>
      <x:c r="C172" s="1" t="str">
        <x:v>Colombia</x:v>
      </x:c>
      <x:c r="D172" s="1" t="str">
        <x:v>Maintenance services</x:v>
      </x:c>
      <x:c r="E172" s="1" t="str">
        <x:v>Buyer 3</x:v>
      </x:c>
      <x:c r="F172" s="5" t="n">
        <x:v>46038</x:v>
      </x:c>
      <x:c r="G172" s="5" t="n">
        <x:v>46047</x:v>
      </x:c>
      <x:c r="H172" s="5" t="n">
        <x:v>46049</x:v>
      </x:c>
      <x:c r="I172" s="5" t="n">
        <x:v>46058</x:v>
      </x:c>
      <x:c r="J172" s="1" t="n">
        <x:v>423</x:v>
      </x:c>
      <x:c r="K172" s="6" t="n">
        <x:v>11.55</x:v>
      </x:c>
      <x:c r="L172" s="10" t="n">
        <x:f>J172*K172</x:f>
        <x:v>4885.650000000001</x:v>
      </x:c>
      <x:c r="M172" t="n">
        <x:f>G172-F172</x:f>
        <x:v>9</x:v>
      </x:c>
      <x:c r="N172" t="n">
        <x:f>H172-F172</x:f>
        <x:v>11</x:v>
      </x:c>
    </x:row>
    <x:row r="173">
      <x:c r="A173" s="1" t="str">
        <x:v>PO0172</x:v>
      </x:c>
      <x:c r="B173" s="1" t="str">
        <x:v>SUP10</x:v>
      </x:c>
      <x:c r="C173" s="1" t="str">
        <x:v>Costa Rica</x:v>
      </x:c>
      <x:c r="D173" s="1" t="str">
        <x:v>Packaging</x:v>
      </x:c>
      <x:c r="E173" s="1" t="str">
        <x:v>Buyer 4</x:v>
      </x:c>
      <x:c r="F173" s="5" t="n">
        <x:v>46120</x:v>
      </x:c>
      <x:c r="G173" s="5" t="n">
        <x:v>46123</x:v>
      </x:c>
      <x:c r="H173" s="5" t="n">
        <x:v>46123</x:v>
      </x:c>
      <x:c r="I173" s="5" t="n">
        <x:v>46138</x:v>
      </x:c>
      <x:c r="J173" s="1" t="n">
        <x:v>2358</x:v>
      </x:c>
      <x:c r="K173" s="6" t="n">
        <x:v>4.2</x:v>
      </x:c>
      <x:c r="L173" s="10" t="n">
        <x:f>J173*K173</x:f>
        <x:v>9903.6</x:v>
      </x:c>
      <x:c r="M173" t="n">
        <x:f>G173-F173</x:f>
        <x:v>3</x:v>
      </x:c>
      <x:c r="N173" t="n">
        <x:f>H173-F173</x:f>
        <x:v>3</x:v>
      </x:c>
    </x:row>
    <x:row r="174">
      <x:c r="A174" s="1" t="str">
        <x:v>PO0173</x:v>
      </x:c>
      <x:c r="B174" s="1" t="str">
        <x:v>SUP09</x:v>
      </x:c>
      <x:c r="C174" s="1" t="str">
        <x:v>Guatemala</x:v>
      </x:c>
      <x:c r="D174" s="1" t="str">
        <x:v>Maintenance services</x:v>
      </x:c>
      <x:c r="E174" s="1" t="str">
        <x:v>Buyer 1</x:v>
      </x:c>
      <x:c r="F174" s="5" t="n">
        <x:v>46076</x:v>
      </x:c>
      <x:c r="G174" s="5" t="n">
        <x:v>46079</x:v>
      </x:c>
      <x:c r="H174" s="5" t="n">
        <x:v>46079</x:v>
      </x:c>
      <x:c r="I174" s="5" t="n">
        <x:v>46090</x:v>
      </x:c>
      <x:c r="J174" s="1" t="n">
        <x:v>4971</x:v>
      </x:c>
      <x:c r="K174" s="6" t="n">
        <x:v>19.74</x:v>
      </x:c>
      <x:c r="L174" s="10" t="n">
        <x:f>J174*K174</x:f>
        <x:v>98127.54</x:v>
      </x:c>
      <x:c r="M174" t="n">
        <x:f>G174-F174</x:f>
        <x:v>3</x:v>
      </x:c>
      <x:c r="N174" t="n">
        <x:f>H174-F174</x:f>
        <x:v>3</x:v>
      </x:c>
    </x:row>
    <x:row r="175">
      <x:c r="A175" s="1" t="str">
        <x:v>PO0174</x:v>
      </x:c>
      <x:c r="B175" s="1" t="str">
        <x:v>SUP02</x:v>
      </x:c>
      <x:c r="C175" s="1" t="str">
        <x:v>Peru</x:v>
      </x:c>
      <x:c r="D175" s="1" t="str">
        <x:v>Ingredients</x:v>
      </x:c>
      <x:c r="E175" s="1" t="str">
        <x:v>Buyer 2</x:v>
      </x:c>
      <x:c r="F175" s="5" t="n">
        <x:v>46275</x:v>
      </x:c>
      <x:c r="G175" s="5" t="n">
        <x:v>46279</x:v>
      </x:c>
      <x:c r="H175" s="5" t="n">
        <x:v>46280</x:v>
      </x:c>
      <x:c r="I175" s="5" t="n">
        <x:v>46288</x:v>
      </x:c>
      <x:c r="J175" s="1" t="n">
        <x:v>4880</x:v>
      </x:c>
      <x:c r="K175" s="6" t="n">
        <x:v>21.47</x:v>
      </x:c>
      <x:c r="L175" s="10" t="n">
        <x:f>J175*K175</x:f>
        <x:v>104773.59999999999</x:v>
      </x:c>
      <x:c r="M175" t="n">
        <x:f>G175-F175</x:f>
        <x:v>4</x:v>
      </x:c>
      <x:c r="N175" t="n">
        <x:f>H175-F175</x:f>
        <x:v>5</x:v>
      </x:c>
    </x:row>
    <x:row r="176">
      <x:c r="A176" s="1" t="str">
        <x:v>PO0175</x:v>
      </x:c>
      <x:c r="B176" s="1" t="str">
        <x:v>SUP05</x:v>
      </x:c>
      <x:c r="C176" s="1" t="str">
        <x:v>Chile</x:v>
      </x:c>
      <x:c r="D176" s="1" t="str">
        <x:v>Ingredients</x:v>
      </x:c>
      <x:c r="E176" s="1" t="str">
        <x:v>Buyer 3</x:v>
      </x:c>
      <x:c r="F176" s="5" t="n">
        <x:v>46095</x:v>
      </x:c>
      <x:c r="G176" s="5" t="n">
        <x:v>46097</x:v>
      </x:c>
      <x:c r="H176" s="5" t="n">
        <x:v>46099</x:v>
      </x:c>
      <x:c r="I176" s="5" t="n">
        <x:v>46115</x:v>
      </x:c>
      <x:c r="J176" s="1" t="n">
        <x:v>2648</x:v>
      </x:c>
      <x:c r="K176" s="6" t="n">
        <x:v>10.41</x:v>
      </x:c>
      <x:c r="L176" s="10" t="n">
        <x:f>J176*K176</x:f>
        <x:v>27565.68</x:v>
      </x:c>
      <x:c r="M176" t="n">
        <x:f>G176-F176</x:f>
        <x:v>2</x:v>
      </x:c>
      <x:c r="N176" t="n">
        <x:f>H176-F176</x:f>
        <x:v>4</x:v>
      </x:c>
    </x:row>
    <x:row r="177">
      <x:c r="A177" s="1" t="str">
        <x:v>PO0176</x:v>
      </x:c>
      <x:c r="B177" s="1" t="str">
        <x:v>SUP02</x:v>
      </x:c>
      <x:c r="C177" s="1" t="str">
        <x:v>Panama</x:v>
      </x:c>
      <x:c r="D177" s="1" t="str">
        <x:v>Ingredients</x:v>
      </x:c>
      <x:c r="E177" s="1" t="str">
        <x:v>Buyer 4</x:v>
      </x:c>
      <x:c r="F177" s="5" t="n">
        <x:v>46215</x:v>
      </x:c>
      <x:c r="G177" s="5" t="n">
        <x:v>46216</x:v>
      </x:c>
      <x:c r="H177" s="5" t="n">
        <x:v>46218</x:v>
      </x:c>
      <x:c r="I177" s="5" t="n">
        <x:v>46227</x:v>
      </x:c>
      <x:c r="J177" s="1" t="n">
        <x:v>1174</x:v>
      </x:c>
      <x:c r="K177" s="6" t="n">
        <x:v>19.68</x:v>
      </x:c>
      <x:c r="L177" s="10" t="n">
        <x:f>J177*K177</x:f>
        <x:v>23104.32</x:v>
      </x:c>
      <x:c r="M177" t="n">
        <x:f>G177-F177</x:f>
        <x:v>1</x:v>
      </x:c>
      <x:c r="N177" t="n">
        <x:f>H177-F177</x:f>
        <x:v>3</x:v>
      </x:c>
    </x:row>
    <x:row r="178">
      <x:c r="A178" s="1" t="str">
        <x:v>PO0177</x:v>
      </x:c>
      <x:c r="B178" s="1" t="str">
        <x:v>SUP13</x:v>
      </x:c>
      <x:c r="C178" s="1" t="str">
        <x:v>Mexico</x:v>
      </x:c>
      <x:c r="D178" s="1" t="str">
        <x:v>Packaging</x:v>
      </x:c>
      <x:c r="E178" s="1" t="str">
        <x:v>Buyer 1</x:v>
      </x:c>
      <x:c r="F178" s="5" t="n">
        <x:v>46107</x:v>
      </x:c>
      <x:c r="G178" s="5" t="n">
        <x:v>46110</x:v>
      </x:c>
      <x:c r="H178" s="5" t="n">
        <x:v>46110</x:v>
      </x:c>
      <x:c r="I178" s="5" t="n">
        <x:v>46122</x:v>
      </x:c>
      <x:c r="J178" s="1" t="n">
        <x:v>2835</x:v>
      </x:c>
      <x:c r="K178" s="6" t="n">
        <x:v>12.07</x:v>
      </x:c>
      <x:c r="L178" s="10" t="n">
        <x:f>J178*K178</x:f>
        <x:v>34218.450000000004</x:v>
      </x:c>
      <x:c r="M178" t="n">
        <x:f>G178-F178</x:f>
        <x:v>3</x:v>
      </x:c>
      <x:c r="N178" t="n">
        <x:f>H178-F178</x:f>
        <x:v>3</x:v>
      </x:c>
    </x:row>
    <x:row r="179">
      <x:c r="A179" s="1" t="str">
        <x:v>PO0178</x:v>
      </x:c>
      <x:c r="B179" s="1" t="str">
        <x:v>SUP13</x:v>
      </x:c>
      <x:c r="C179" s="1" t="str">
        <x:v>Colombia</x:v>
      </x:c>
      <x:c r="D179" s="1" t="str">
        <x:v>Packaging</x:v>
      </x:c>
      <x:c r="E179" s="1" t="str">
        <x:v>Buyer 2</x:v>
      </x:c>
      <x:c r="F179" s="5" t="n">
        <x:v>46209</x:v>
      </x:c>
      <x:c r="G179" s="5" t="n">
        <x:v>46213</x:v>
      </x:c>
      <x:c r="H179" s="5" t="n">
        <x:v>46214</x:v>
      </x:c>
      <x:c r="I179" s="5" t="n">
        <x:v>46227</x:v>
      </x:c>
      <x:c r="J179" s="1" t="n">
        <x:v>3552</x:v>
      </x:c>
      <x:c r="K179" s="6" t="n">
        <x:v>22.94</x:v>
      </x:c>
      <x:c r="L179" s="10" t="n">
        <x:f>J179*K179</x:f>
        <x:v>81482.88</x:v>
      </x:c>
      <x:c r="M179" t="n">
        <x:f>G179-F179</x:f>
        <x:v>4</x:v>
      </x:c>
      <x:c r="N179" t="n">
        <x:f>H179-F179</x:f>
        <x:v>5</x:v>
      </x:c>
    </x:row>
    <x:row r="180">
      <x:c r="A180" s="1" t="str">
        <x:v>PO0179</x:v>
      </x:c>
      <x:c r="B180" s="1" t="str">
        <x:v>SUP10</x:v>
      </x:c>
      <x:c r="C180" s="1" t="str">
        <x:v>Costa Rica</x:v>
      </x:c>
      <x:c r="D180" s="1" t="str">
        <x:v>Packaging</x:v>
      </x:c>
      <x:c r="E180" s="1" t="str">
        <x:v>Buyer 3</x:v>
      </x:c>
      <x:c r="F180" s="5" t="n">
        <x:v>46124</x:v>
      </x:c>
      <x:c r="G180" s="5" t="n">
        <x:v>46125</x:v>
      </x:c>
      <x:c r="H180" s="5" t="n">
        <x:v>46127</x:v>
      </x:c>
      <x:c r="I180" s="5" t="n">
        <x:v>46149</x:v>
      </x:c>
      <x:c r="J180" s="1" t="n">
        <x:v>3300</x:v>
      </x:c>
      <x:c r="K180" s="6" t="n">
        <x:v>12.53</x:v>
      </x:c>
      <x:c r="L180" s="10" t="n">
        <x:f>J180*K180</x:f>
        <x:v>41349</x:v>
      </x:c>
      <x:c r="M180" t="n">
        <x:f>G180-F180</x:f>
        <x:v>1</x:v>
      </x:c>
      <x:c r="N180" t="n">
        <x:f>H180-F180</x:f>
        <x:v>3</x:v>
      </x:c>
    </x:row>
    <x:row r="181">
      <x:c r="A181" s="1" t="str">
        <x:v>PO0180</x:v>
      </x:c>
      <x:c r="B181" s="1" t="str">
        <x:v>SUP10</x:v>
      </x:c>
      <x:c r="C181" s="1" t="str">
        <x:v>Guatemala</x:v>
      </x:c>
      <x:c r="D181" s="1" t="str">
        <x:v>Packaging</x:v>
      </x:c>
      <x:c r="E181" s="1" t="str">
        <x:v>Buyer 4</x:v>
      </x:c>
      <x:c r="F181" s="5" t="n">
        <x:v>46211</x:v>
      </x:c>
      <x:c r="G181" s="5" t="n">
        <x:v>46212</x:v>
      </x:c>
      <x:c r="H181" s="5" t="n">
        <x:v>46212</x:v>
      </x:c>
      <x:c r="I181" s="5" t="n">
        <x:v>46222</x:v>
      </x:c>
      <x:c r="J181" s="1" t="n">
        <x:v>2024</x:v>
      </x:c>
      <x:c r="K181" s="6" t="n">
        <x:v>9.17</x:v>
      </x:c>
      <x:c r="L181" s="10" t="n">
        <x:f>J181*K181</x:f>
        <x:v>18560.079999999998</x:v>
      </x:c>
      <x:c r="M181" t="n">
        <x:f>G181-F181</x:f>
        <x:v>1</x:v>
      </x:c>
      <x:c r="N181" t="n">
        <x:f>H181-F181</x:f>
        <x:v>1</x:v>
      </x:c>
    </x:row>
    <x:row r="182">
      <x:c r="A182" s="1" t="str">
        <x:v>PO0181</x:v>
      </x:c>
      <x:c r="B182" s="1" t="str">
        <x:v>SUP13</x:v>
      </x:c>
      <x:c r="C182" s="1" t="str">
        <x:v>Peru</x:v>
      </x:c>
      <x:c r="D182" s="1" t="str">
        <x:v>Packaging</x:v>
      </x:c>
      <x:c r="E182" s="1" t="str">
        <x:v>Buyer 1</x:v>
      </x:c>
      <x:c r="F182" s="5" t="n">
        <x:v>46208</x:v>
      </x:c>
      <x:c r="G182" s="5" t="n">
        <x:v>46210</x:v>
      </x:c>
      <x:c r="H182" s="5" t="n">
        <x:v>46211</x:v>
      </x:c>
      <x:c r="I182" s="5" t="n">
        <x:v>46228</x:v>
      </x:c>
      <x:c r="J182" s="1" t="n">
        <x:v>974</x:v>
      </x:c>
      <x:c r="K182" s="6" t="n">
        <x:v>1.53</x:v>
      </x:c>
      <x:c r="L182" s="10" t="n">
        <x:f>J182*K182</x:f>
        <x:v>1490.22</x:v>
      </x:c>
      <x:c r="M182" t="n">
        <x:f>G182-F182</x:f>
        <x:v>2</x:v>
      </x:c>
      <x:c r="N182" t="n">
        <x:f>H182-F182</x:f>
        <x:v>3</x:v>
      </x:c>
    </x:row>
    <x:row r="183">
      <x:c r="A183" s="1" t="str">
        <x:v>PO0182</x:v>
      </x:c>
      <x:c r="B183" s="1" t="str">
        <x:v>SUP08</x:v>
      </x:c>
      <x:c r="C183" s="1" t="str">
        <x:v>Chile</x:v>
      </x:c>
      <x:c r="D183" s="1" t="str">
        <x:v>Ingredients</x:v>
      </x:c>
      <x:c r="E183" s="1" t="str">
        <x:v>Buyer 2</x:v>
      </x:c>
      <x:c r="F183" s="5" t="n">
        <x:v>46139</x:v>
      </x:c>
      <x:c r="G183" s="5" t="n">
        <x:v>46144</x:v>
      </x:c>
      <x:c r="H183" s="5" t="n">
        <x:v>46145</x:v>
      </x:c>
      <x:c r="I183" s="5" t="n">
        <x:v>46170</x:v>
      </x:c>
      <x:c r="J183" s="1" t="n">
        <x:v>1994</x:v>
      </x:c>
      <x:c r="K183" s="6" t="n">
        <x:v>24.51</x:v>
      </x:c>
      <x:c r="L183" s="10" t="n">
        <x:f>J183*K183</x:f>
        <x:v>48872.94</x:v>
      </x:c>
      <x:c r="M183" t="n">
        <x:f>G183-F183</x:f>
        <x:v>5</x:v>
      </x:c>
      <x:c r="N183" t="n">
        <x:f>H183-F183</x:f>
        <x:v>6</x:v>
      </x:c>
    </x:row>
    <x:row r="184">
      <x:c r="A184" s="1" t="str">
        <x:v>PO0183</x:v>
      </x:c>
      <x:c r="B184" s="1" t="str">
        <x:v>SUP03</x:v>
      </x:c>
      <x:c r="C184" s="1" t="str">
        <x:v>Panama</x:v>
      </x:c>
      <x:c r="D184" s="1" t="str">
        <x:v>Maintenance services</x:v>
      </x:c>
      <x:c r="E184" s="1" t="str">
        <x:v>Buyer 3</x:v>
      </x:c>
      <x:c r="F184" s="5" t="n">
        <x:v>46090</x:v>
      </x:c>
      <x:c r="G184" s="5" t="n">
        <x:v>46091</x:v>
      </x:c>
      <x:c r="H184" s="5" t="n">
        <x:v>46092</x:v>
      </x:c>
      <x:c r="I184" s="5" t="n">
        <x:v>46110</x:v>
      </x:c>
      <x:c r="J184" s="1" t="n">
        <x:v>3969</x:v>
      </x:c>
      <x:c r="K184" s="6" t="n">
        <x:v>5.7</x:v>
      </x:c>
      <x:c r="L184" s="10" t="n">
        <x:f>J184*K184</x:f>
        <x:v>22623.3</x:v>
      </x:c>
      <x:c r="M184" t="n">
        <x:f>G184-F184</x:f>
        <x:v>1</x:v>
      </x:c>
      <x:c r="N184" t="n">
        <x:f>H184-F184</x:f>
        <x:v>2</x:v>
      </x:c>
    </x:row>
    <x:row r="185">
      <x:c r="A185" s="1" t="str">
        <x:v>PO0184</x:v>
      </x:c>
      <x:c r="B185" s="1" t="str">
        <x:v>SUP02</x:v>
      </x:c>
      <x:c r="C185" s="1" t="str">
        <x:v>Mexico</x:v>
      </x:c>
      <x:c r="D185" s="1" t="str">
        <x:v>Ingredients</x:v>
      </x:c>
      <x:c r="E185" s="1" t="str">
        <x:v>Buyer 4</x:v>
      </x:c>
      <x:c r="F185" s="5" t="n">
        <x:v>46232</x:v>
      </x:c>
      <x:c r="G185" s="5" t="n">
        <x:v>46234</x:v>
      </x:c>
      <x:c r="H185" s="5" t="n">
        <x:v>46235</x:v>
      </x:c>
      <x:c r="I185" s="5" t="n">
        <x:v>46258</x:v>
      </x:c>
      <x:c r="J185" s="1" t="n">
        <x:v>3986</x:v>
      </x:c>
      <x:c r="K185" s="6" t="n">
        <x:v>20.2</x:v>
      </x:c>
      <x:c r="L185" s="10" t="n">
        <x:f>J185*K185</x:f>
        <x:v>80517.2</x:v>
      </x:c>
      <x:c r="M185" t="n">
        <x:f>G185-F185</x:f>
        <x:v>2</x:v>
      </x:c>
      <x:c r="N185" t="n">
        <x:f>H185-F185</x:f>
        <x:v>3</x:v>
      </x:c>
    </x:row>
    <x:row r="186">
      <x:c r="A186" s="1" t="str">
        <x:v>PO0185</x:v>
      </x:c>
      <x:c r="B186" s="1" t="str">
        <x:v>SUP07</x:v>
      </x:c>
      <x:c r="C186" s="1" t="str">
        <x:v>Colombia</x:v>
      </x:c>
      <x:c r="D186" s="1" t="str">
        <x:v>Packaging</x:v>
      </x:c>
      <x:c r="E186" s="1" t="str">
        <x:v>Buyer 1</x:v>
      </x:c>
      <x:c r="F186" s="5" t="n">
        <x:v>46259</x:v>
      </x:c>
      <x:c r="G186" s="5" t="n">
        <x:v>46261</x:v>
      </x:c>
      <x:c r="H186" s="5" t="n">
        <x:v>46263</x:v>
      </x:c>
      <x:c r="I186" s="5" t="n">
        <x:v>46272</x:v>
      </x:c>
      <x:c r="J186" s="1" t="n">
        <x:v>988</x:v>
      </x:c>
      <x:c r="K186" s="6" t="n">
        <x:v>19.92</x:v>
      </x:c>
      <x:c r="L186" s="10" t="n">
        <x:f>J186*K186</x:f>
        <x:v>19680.960000000003</x:v>
      </x:c>
      <x:c r="M186" t="n">
        <x:f>G186-F186</x:f>
        <x:v>2</x:v>
      </x:c>
      <x:c r="N186" t="n">
        <x:f>H186-F186</x:f>
        <x:v>4</x:v>
      </x:c>
    </x:row>
    <x:row r="187">
      <x:c r="A187" s="1" t="str">
        <x:v>PO0186</x:v>
      </x:c>
      <x:c r="B187" s="1" t="str">
        <x:v>SUP04</x:v>
      </x:c>
      <x:c r="C187" s="1" t="str">
        <x:v>Costa Rica</x:v>
      </x:c>
      <x:c r="D187" s="1" t="str">
        <x:v>Packaging</x:v>
      </x:c>
      <x:c r="E187" s="1" t="str">
        <x:v>Buyer 2</x:v>
      </x:c>
      <x:c r="F187" s="5" t="n">
        <x:v>46058</x:v>
      </x:c>
      <x:c r="G187" s="5" t="n">
        <x:v>46063</x:v>
      </x:c>
      <x:c r="H187" s="5" t="n">
        <x:v>46064</x:v>
      </x:c>
      <x:c r="I187" s="5" t="n">
        <x:v>46076</x:v>
      </x:c>
      <x:c r="J187" s="1" t="n">
        <x:v>932</x:v>
      </x:c>
      <x:c r="K187" s="6" t="n">
        <x:v>6.51</x:v>
      </x:c>
      <x:c r="L187" s="10" t="n">
        <x:f>J187*K187</x:f>
        <x:v>6067.32</x:v>
      </x:c>
      <x:c r="M187" t="n">
        <x:f>G187-F187</x:f>
        <x:v>5</x:v>
      </x:c>
      <x:c r="N187" t="n">
        <x:f>H187-F187</x:f>
        <x:v>6</x:v>
      </x:c>
    </x:row>
    <x:row r="188">
      <x:c r="A188" s="1" t="str">
        <x:v>PO0187</x:v>
      </x:c>
      <x:c r="B188" s="1" t="str">
        <x:v>SUP08</x:v>
      </x:c>
      <x:c r="C188" s="1" t="str">
        <x:v>Guatemala</x:v>
      </x:c>
      <x:c r="D188" s="1" t="str">
        <x:v>Ingredients</x:v>
      </x:c>
      <x:c r="E188" s="1" t="str">
        <x:v>Buyer 3</x:v>
      </x:c>
      <x:c r="F188" s="5" t="n">
        <x:v>46147</x:v>
      </x:c>
      <x:c r="G188" s="5" t="n">
        <x:v>46149</x:v>
      </x:c>
      <x:c r="H188" s="5" t="n">
        <x:v>46150</x:v>
      </x:c>
      <x:c r="I188" s="5" t="n">
        <x:v>46160</x:v>
      </x:c>
      <x:c r="J188" s="1" t="n">
        <x:v>4059</x:v>
      </x:c>
      <x:c r="K188" s="6" t="n">
        <x:v>14.08</x:v>
      </x:c>
      <x:c r="L188" s="10" t="n">
        <x:f>J188*K188</x:f>
        <x:v>57150.72</x:v>
      </x:c>
      <x:c r="M188" t="n">
        <x:f>G188-F188</x:f>
        <x:v>2</x:v>
      </x:c>
      <x:c r="N188" t="n">
        <x:f>H188-F188</x:f>
        <x:v>3</x:v>
      </x:c>
    </x:row>
    <x:row r="189">
      <x:c r="A189" s="1" t="str">
        <x:v>PO0188</x:v>
      </x:c>
      <x:c r="B189" s="1" t="str">
        <x:v>SUP07</x:v>
      </x:c>
      <x:c r="C189" s="1" t="str">
        <x:v>Peru</x:v>
      </x:c>
      <x:c r="D189" s="1" t="str">
        <x:v>Packaging</x:v>
      </x:c>
      <x:c r="E189" s="1" t="str">
        <x:v>Buyer 4</x:v>
      </x:c>
      <x:c r="F189" s="5" t="n">
        <x:v>46220</x:v>
      </x:c>
      <x:c r="G189" s="5" t="n">
        <x:v>46223</x:v>
      </x:c>
      <x:c r="H189" s="5" t="n">
        <x:v>46224</x:v>
      </x:c>
      <x:c r="I189" s="5" t="n">
        <x:v>46241</x:v>
      </x:c>
      <x:c r="J189" s="1" t="n">
        <x:v>259</x:v>
      </x:c>
      <x:c r="K189" s="6" t="n">
        <x:v>18.62</x:v>
      </x:c>
      <x:c r="L189" s="10" t="n">
        <x:f>J189*K189</x:f>
        <x:v>4822.58</x:v>
      </x:c>
      <x:c r="M189" t="n">
        <x:f>G189-F189</x:f>
        <x:v>3</x:v>
      </x:c>
      <x:c r="N189" t="n">
        <x:f>H189-F189</x:f>
        <x:v>4</x:v>
      </x:c>
    </x:row>
    <x:row r="190">
      <x:c r="A190" s="1" t="str">
        <x:v>PO0189</x:v>
      </x:c>
      <x:c r="B190" s="1" t="str">
        <x:v>SUP12</x:v>
      </x:c>
      <x:c r="C190" s="1" t="str">
        <x:v>Chile</x:v>
      </x:c>
      <x:c r="D190" s="1" t="str">
        <x:v>Maintenance services</x:v>
      </x:c>
      <x:c r="E190" s="1" t="str">
        <x:v>Buyer 1</x:v>
      </x:c>
      <x:c r="F190" s="5" t="n">
        <x:v>46109</x:v>
      </x:c>
      <x:c r="G190" s="5" t="n">
        <x:v>46114</x:v>
      </x:c>
      <x:c r="H190" s="5" t="n">
        <x:v>46114</x:v>
      </x:c>
      <x:c r="I190" s="5" t="n">
        <x:v>46122</x:v>
      </x:c>
      <x:c r="J190" s="1" t="n">
        <x:v>4603</x:v>
      </x:c>
      <x:c r="K190" s="6" t="n">
        <x:v>16.66</x:v>
      </x:c>
      <x:c r="L190" s="10" t="n">
        <x:f>J190*K190</x:f>
        <x:v>76685.98</x:v>
      </x:c>
      <x:c r="M190" t="n">
        <x:f>G190-F190</x:f>
        <x:v>5</x:v>
      </x:c>
      <x:c r="N190" t="n">
        <x:f>H190-F190</x:f>
        <x:v>5</x:v>
      </x:c>
    </x:row>
    <x:row r="191">
      <x:c r="A191" s="1" t="str">
        <x:v>PO0190</x:v>
      </x:c>
      <x:c r="B191" s="1" t="str">
        <x:v>SUP04</x:v>
      </x:c>
      <x:c r="C191" s="1" t="str">
        <x:v>Panama</x:v>
      </x:c>
      <x:c r="D191" s="1" t="str">
        <x:v>Packaging</x:v>
      </x:c>
      <x:c r="E191" s="1" t="str">
        <x:v>Buyer 2</x:v>
      </x:c>
      <x:c r="F191" s="5" t="n">
        <x:v>46108</x:v>
      </x:c>
      <x:c r="G191" s="5" t="n">
        <x:v>46112</x:v>
      </x:c>
      <x:c r="H191" s="5" t="n">
        <x:v>46113</x:v>
      </x:c>
      <x:c r="I191" s="5" t="n">
        <x:v>46129</x:v>
      </x:c>
      <x:c r="J191" s="1" t="n">
        <x:v>4618</x:v>
      </x:c>
      <x:c r="K191" s="6" t="n">
        <x:v>17.83</x:v>
      </x:c>
      <x:c r="L191" s="10" t="n">
        <x:f>J191*K191</x:f>
        <x:v>82338.93999999999</x:v>
      </x:c>
      <x:c r="M191" t="n">
        <x:f>G191-F191</x:f>
        <x:v>4</x:v>
      </x:c>
      <x:c r="N191" t="n">
        <x:f>H191-F191</x:f>
        <x:v>5</x:v>
      </x:c>
    </x:row>
    <x:row r="192">
      <x:c r="A192" s="1" t="str">
        <x:v>PO0191</x:v>
      </x:c>
      <x:c r="B192" s="1" t="str">
        <x:v>SUP01</x:v>
      </x:c>
      <x:c r="C192" s="1" t="str">
        <x:v>Mexico</x:v>
      </x:c>
      <x:c r="D192" s="1" t="str">
        <x:v>Packaging</x:v>
      </x:c>
      <x:c r="E192" s="1" t="str">
        <x:v>Buyer 3</x:v>
      </x:c>
      <x:c r="F192" s="5" t="n">
        <x:v>46202</x:v>
      </x:c>
      <x:c r="G192" s="5" t="n">
        <x:v>46204</x:v>
      </x:c>
      <x:c r="H192" s="5" t="n">
        <x:v>46204</x:v>
      </x:c>
      <x:c r="I192" s="5" t="n">
        <x:v>46221</x:v>
      </x:c>
      <x:c r="J192" s="1" t="n">
        <x:v>1702</x:v>
      </x:c>
      <x:c r="K192" s="6" t="n">
        <x:v>1.61</x:v>
      </x:c>
      <x:c r="L192" s="10" t="n">
        <x:f>J192*K192</x:f>
        <x:v>2740.2200000000003</x:v>
      </x:c>
      <x:c r="M192" t="n">
        <x:f>G192-F192</x:f>
        <x:v>2</x:v>
      </x:c>
      <x:c r="N192" t="n">
        <x:f>H192-F192</x:f>
        <x:v>2</x:v>
      </x:c>
    </x:row>
    <x:row r="193">
      <x:c r="A193" s="1" t="str">
        <x:v>PO0192</x:v>
      </x:c>
      <x:c r="B193" s="1" t="str">
        <x:v>SUP10</x:v>
      </x:c>
      <x:c r="C193" s="1" t="str">
        <x:v>Colombia</x:v>
      </x:c>
      <x:c r="D193" s="1" t="str">
        <x:v>Packaging</x:v>
      </x:c>
      <x:c r="E193" s="1" t="str">
        <x:v>Buyer 4</x:v>
      </x:c>
      <x:c r="F193" s="5" t="n">
        <x:v>46103</x:v>
      </x:c>
      <x:c r="G193" s="5" t="n">
        <x:v>46106</x:v>
      </x:c>
      <x:c r="H193" s="5" t="n">
        <x:v>46106</x:v>
      </x:c>
      <x:c r="I193" s="5" t="n">
        <x:v>46125</x:v>
      </x:c>
      <x:c r="J193" s="1" t="n">
        <x:v>3136</x:v>
      </x:c>
      <x:c r="K193" s="6" t="n">
        <x:v>1.05</x:v>
      </x:c>
      <x:c r="L193" s="10" t="n">
        <x:f>J193*K193</x:f>
        <x:v>3292.8</x:v>
      </x:c>
      <x:c r="M193" t="n">
        <x:f>G193-F193</x:f>
        <x:v>3</x:v>
      </x:c>
      <x:c r="N193" t="n">
        <x:f>H193-F193</x:f>
        <x:v>3</x:v>
      </x:c>
    </x:row>
    <x:row r="194">
      <x:c r="A194" s="1" t="str">
        <x:v>PO0193</x:v>
      </x:c>
      <x:c r="B194" s="1" t="str">
        <x:v>SUP07</x:v>
      </x:c>
      <x:c r="C194" s="1" t="str">
        <x:v>Costa Rica</x:v>
      </x:c>
      <x:c r="D194" s="1" t="str">
        <x:v>Packaging</x:v>
      </x:c>
      <x:c r="E194" s="1" t="str">
        <x:v>Buyer 1</x:v>
      </x:c>
      <x:c r="F194" s="5" t="n">
        <x:v>46204</x:v>
      </x:c>
      <x:c r="G194" s="5" t="n">
        <x:v>46209</x:v>
      </x:c>
      <x:c r="H194" s="5" t="n">
        <x:v>46211</x:v>
      </x:c>
      <x:c r="I194" s="5" t="n">
        <x:v>46236</x:v>
      </x:c>
      <x:c r="J194" s="1" t="n">
        <x:v>1971</x:v>
      </x:c>
      <x:c r="K194" s="6" t="n">
        <x:v>20.35</x:v>
      </x:c>
      <x:c r="L194" s="10" t="n">
        <x:f>J194*K194</x:f>
        <x:v>40109.850000000006</x:v>
      </x:c>
      <x:c r="M194" t="n">
        <x:f>G194-F194</x:f>
        <x:v>5</x:v>
      </x:c>
      <x:c r="N194" t="n">
        <x:f>H194-F194</x:f>
        <x:v>7</x:v>
      </x:c>
    </x:row>
    <x:row r="195">
      <x:c r="A195" s="1" t="str">
        <x:v>PO0194</x:v>
      </x:c>
      <x:c r="B195" s="1" t="str">
        <x:v>SUP06</x:v>
      </x:c>
      <x:c r="C195" s="1" t="str">
        <x:v>Guatemala</x:v>
      </x:c>
      <x:c r="D195" s="1" t="str">
        <x:v>Maintenance services</x:v>
      </x:c>
      <x:c r="E195" s="1" t="str">
        <x:v>Buyer 2</x:v>
      </x:c>
      <x:c r="F195" s="5" t="n">
        <x:v>46228</x:v>
      </x:c>
      <x:c r="G195" s="5" t="n">
        <x:v>46231</x:v>
      </x:c>
      <x:c r="H195" s="5" t="n">
        <x:v>46232</x:v>
      </x:c>
      <x:c r="I195" s="5" t="n">
        <x:v>46252</x:v>
      </x:c>
      <x:c r="J195" s="1" t="n">
        <x:v>1335</x:v>
      </x:c>
      <x:c r="K195" s="6" t="n">
        <x:v>12.39</x:v>
      </x:c>
      <x:c r="L195" s="10" t="n">
        <x:f>J195*K195</x:f>
        <x:v>16540.65</x:v>
      </x:c>
      <x:c r="M195" t="n">
        <x:f>G195-F195</x:f>
        <x:v>3</x:v>
      </x:c>
      <x:c r="N195" t="n">
        <x:f>H195-F195</x:f>
        <x:v>4</x:v>
      </x:c>
    </x:row>
    <x:row r="196">
      <x:c r="A196" s="1" t="str">
        <x:v>PO0195</x:v>
      </x:c>
      <x:c r="B196" s="1" t="str">
        <x:v>SUP03</x:v>
      </x:c>
      <x:c r="C196" s="1" t="str">
        <x:v>Peru</x:v>
      </x:c>
      <x:c r="D196" s="1" t="str">
        <x:v>Maintenance services</x:v>
      </x:c>
      <x:c r="E196" s="1" t="str">
        <x:v>Buyer 3</x:v>
      </x:c>
      <x:c r="F196" s="5" t="n">
        <x:v>46139</x:v>
      </x:c>
      <x:c r="G196" s="5" t="n">
        <x:v>46143</x:v>
      </x:c>
      <x:c r="H196" s="5" t="n">
        <x:v>46143</x:v>
      </x:c>
      <x:c r="I196" s="5" t="n">
        <x:v>46158</x:v>
      </x:c>
      <x:c r="J196" s="1" t="n">
        <x:v>3565</x:v>
      </x:c>
      <x:c r="K196" s="6" t="n">
        <x:v>17.34</x:v>
      </x:c>
      <x:c r="L196" s="10" t="n">
        <x:f>J196*K196</x:f>
        <x:v>61817.1</x:v>
      </x:c>
      <x:c r="M196" t="n">
        <x:f>G196-F196</x:f>
        <x:v>4</x:v>
      </x:c>
      <x:c r="N196" t="n">
        <x:f>H196-F196</x:f>
        <x:v>4</x:v>
      </x:c>
    </x:row>
    <x:row r="197">
      <x:c r="A197" s="1" t="str">
        <x:v>PO0196</x:v>
      </x:c>
      <x:c r="B197" s="1" t="str">
        <x:v>SUP06</x:v>
      </x:c>
      <x:c r="C197" s="1" t="str">
        <x:v>Chile</x:v>
      </x:c>
      <x:c r="D197" s="1" t="str">
        <x:v>Maintenance services</x:v>
      </x:c>
      <x:c r="E197" s="1" t="str">
        <x:v>Buyer 4</x:v>
      </x:c>
      <x:c r="F197" s="5" t="n">
        <x:v>46134</x:v>
      </x:c>
      <x:c r="G197" s="5" t="n">
        <x:v>46138</x:v>
      </x:c>
      <x:c r="H197" s="5" t="n">
        <x:v>46140</x:v>
      </x:c>
      <x:c r="I197" s="5" t="n">
        <x:v>46157</x:v>
      </x:c>
      <x:c r="J197" s="1" t="n">
        <x:v>561</x:v>
      </x:c>
      <x:c r="K197" s="6" t="n">
        <x:v>23.7</x:v>
      </x:c>
      <x:c r="L197" s="10" t="n">
        <x:f>J197*K197</x:f>
        <x:v>13295.699999999999</x:v>
      </x:c>
      <x:c r="M197" t="n">
        <x:f>G197-F197</x:f>
        <x:v>4</x:v>
      </x:c>
      <x:c r="N197" t="n">
        <x:f>H197-F197</x:f>
        <x:v>6</x:v>
      </x:c>
    </x:row>
    <x:row r="198">
      <x:c r="A198" s="1" t="str">
        <x:v>PO0197</x:v>
      </x:c>
      <x:c r="B198" s="1" t="str">
        <x:v>SUP08</x:v>
      </x:c>
      <x:c r="C198" s="1" t="str">
        <x:v>Panama</x:v>
      </x:c>
      <x:c r="D198" s="1" t="str">
        <x:v>Ingredients</x:v>
      </x:c>
      <x:c r="E198" s="1" t="str">
        <x:v>Buyer 1</x:v>
      </x:c>
      <x:c r="F198" s="5" t="n">
        <x:v>46156</x:v>
      </x:c>
      <x:c r="G198" s="5" t="n">
        <x:v>46161</x:v>
      </x:c>
      <x:c r="H198" s="5" t="n">
        <x:v>46162</x:v>
      </x:c>
      <x:c r="I198" s="5" t="n">
        <x:v>46169</x:v>
      </x:c>
      <x:c r="J198" s="1" t="n">
        <x:v>1149</x:v>
      </x:c>
      <x:c r="K198" s="6" t="n">
        <x:v>12.48</x:v>
      </x:c>
      <x:c r="L198" s="10" t="n">
        <x:f>J198*K198</x:f>
        <x:v>14339.52</x:v>
      </x:c>
      <x:c r="M198" t="n">
        <x:f>G198-F198</x:f>
        <x:v>5</x:v>
      </x:c>
      <x:c r="N198" t="n">
        <x:f>H198-F198</x:f>
        <x:v>6</x:v>
      </x:c>
    </x:row>
    <x:row r="199">
      <x:c r="A199" s="1" t="str">
        <x:v>PO0198</x:v>
      </x:c>
      <x:c r="B199" s="1" t="str">
        <x:v>SUP04</x:v>
      </x:c>
      <x:c r="C199" s="1" t="str">
        <x:v>Mexico</x:v>
      </x:c>
      <x:c r="D199" s="1" t="str">
        <x:v>Packaging</x:v>
      </x:c>
      <x:c r="E199" s="1" t="str">
        <x:v>Buyer 2</x:v>
      </x:c>
      <x:c r="F199" s="5" t="n">
        <x:v>46194</x:v>
      </x:c>
      <x:c r="G199" s="5" t="n">
        <x:v>46195</x:v>
      </x:c>
      <x:c r="H199" s="5" t="n">
        <x:v>46196</x:v>
      </x:c>
      <x:c r="I199" s="5" t="n">
        <x:v>46209</x:v>
      </x:c>
      <x:c r="J199" s="1" t="n">
        <x:v>692</x:v>
      </x:c>
      <x:c r="K199" s="6" t="n">
        <x:v>9.8</x:v>
      </x:c>
      <x:c r="L199" s="10" t="n">
        <x:f>J199*K199</x:f>
        <x:v>6781.6</x:v>
      </x:c>
      <x:c r="M199" t="n">
        <x:f>G199-F199</x:f>
        <x:v>1</x:v>
      </x:c>
      <x:c r="N199" t="n">
        <x:f>H199-F199</x:f>
        <x:v>2</x:v>
      </x:c>
    </x:row>
    <x:row r="200">
      <x:c r="A200" s="1" t="str">
        <x:v>PO0199</x:v>
      </x:c>
      <x:c r="B200" s="1" t="str">
        <x:v>SUP12</x:v>
      </x:c>
      <x:c r="C200" s="1" t="str">
        <x:v>Colombia</x:v>
      </x:c>
      <x:c r="D200" s="1" t="str">
        <x:v>Maintenance services</x:v>
      </x:c>
      <x:c r="E200" s="1" t="str">
        <x:v>Buyer 3</x:v>
      </x:c>
      <x:c r="F200" s="5" t="n">
        <x:v>46141</x:v>
      </x:c>
      <x:c r="G200" s="5" t="n">
        <x:v>46143</x:v>
      </x:c>
      <x:c r="H200" s="5" t="n">
        <x:v>46143</x:v>
      </x:c>
      <x:c r="I200" s="5" t="n">
        <x:v>46155</x:v>
      </x:c>
      <x:c r="J200" s="1" t="n">
        <x:v>415</x:v>
      </x:c>
      <x:c r="K200" s="6" t="n">
        <x:v>3.75</x:v>
      </x:c>
      <x:c r="L200" s="10" t="n">
        <x:f>J200*K200</x:f>
        <x:v>1556.25</x:v>
      </x:c>
      <x:c r="M200" t="n">
        <x:f>G200-F200</x:f>
        <x:v>2</x:v>
      </x:c>
      <x:c r="N200" t="n">
        <x:f>H200-F200</x:f>
        <x:v>2</x:v>
      </x:c>
    </x:row>
    <x:row r="201">
      <x:c r="A201" s="1" t="str">
        <x:v>PO0200</x:v>
      </x:c>
      <x:c r="B201" s="1" t="str">
        <x:v>SUP11</x:v>
      </x:c>
      <x:c r="C201" s="1" t="str">
        <x:v>Costa Rica</x:v>
      </x:c>
      <x:c r="D201" s="1" t="str">
        <x:v>Ingredients</x:v>
      </x:c>
      <x:c r="E201" s="1" t="str">
        <x:v>Buyer 4</x:v>
      </x:c>
      <x:c r="F201" s="5" t="n">
        <x:v>46076</x:v>
      </x:c>
      <x:c r="G201" s="5" t="n">
        <x:v>46079</x:v>
      </x:c>
      <x:c r="H201" s="5" t="n">
        <x:v>46081</x:v>
      </x:c>
      <x:c r="I201" s="5" t="n">
        <x:v>46102</x:v>
      </x:c>
      <x:c r="J201" s="1" t="n">
        <x:v>896</x:v>
      </x:c>
      <x:c r="K201" s="6" t="n">
        <x:v>3.26</x:v>
      </x:c>
      <x:c r="L201" s="10" t="n">
        <x:f>J201*K201</x:f>
        <x:v>2920.96</x:v>
      </x:c>
      <x:c r="M201" t="n">
        <x:f>G201-F201</x:f>
        <x:v>3</x:v>
      </x:c>
      <x:c r="N201" t="n">
        <x:f>H201-F201</x:f>
        <x:v>5</x:v>
      </x:c>
    </x:row>
    <x:row r="202">
      <x:c r="A202" s="1" t="str">
        <x:v>PO0201</x:v>
      </x:c>
      <x:c r="B202" s="1" t="str">
        <x:v>SUP10</x:v>
      </x:c>
      <x:c r="C202" s="1" t="str">
        <x:v>Guatemala</x:v>
      </x:c>
      <x:c r="D202" s="1" t="str">
        <x:v>Packaging</x:v>
      </x:c>
      <x:c r="E202" s="1" t="str">
        <x:v>Buyer 1</x:v>
      </x:c>
      <x:c r="F202" s="5" t="n">
        <x:v>46103</x:v>
      </x:c>
      <x:c r="G202" s="5" t="n">
        <x:v>46108</x:v>
      </x:c>
      <x:c r="H202" s="5" t="n">
        <x:v>46108</x:v>
      </x:c>
      <x:c r="I202" s="5" t="n">
        <x:v>46121</x:v>
      </x:c>
      <x:c r="J202" s="1" t="n">
        <x:v>4743</x:v>
      </x:c>
      <x:c r="K202" s="6" t="n">
        <x:v>20.6</x:v>
      </x:c>
      <x:c r="L202" s="10" t="n">
        <x:f>J202*K202</x:f>
        <x:v>97705.8</x:v>
      </x:c>
      <x:c r="M202" t="n">
        <x:f>G202-F202</x:f>
        <x:v>5</x:v>
      </x:c>
      <x:c r="N202" t="n">
        <x:f>H202-F202</x:f>
        <x:v>5</x:v>
      </x:c>
    </x:row>
    <x:row r="203">
      <x:c r="A203" s="1" t="str">
        <x:v>PO0202</x:v>
      </x:c>
      <x:c r="B203" s="1" t="str">
        <x:v>SUP04</x:v>
      </x:c>
      <x:c r="C203" s="1" t="str">
        <x:v>Peru</x:v>
      </x:c>
      <x:c r="D203" s="1" t="str">
        <x:v>Packaging</x:v>
      </x:c>
      <x:c r="E203" s="1" t="str">
        <x:v>Buyer 2</x:v>
      </x:c>
      <x:c r="F203" s="5" t="n">
        <x:v>46152</x:v>
      </x:c>
      <x:c r="G203" s="5" t="n">
        <x:v>46155</x:v>
      </x:c>
      <x:c r="H203" s="5" t="n">
        <x:v>46155</x:v>
      </x:c>
      <x:c r="I203" s="5" t="n">
        <x:v>46169</x:v>
      </x:c>
      <x:c r="J203" s="1" t="n">
        <x:v>3581</x:v>
      </x:c>
      <x:c r="K203" s="6" t="n">
        <x:v>13.23</x:v>
      </x:c>
      <x:c r="L203" s="10" t="n">
        <x:f>J203*K203</x:f>
        <x:v>47376.630000000005</x:v>
      </x:c>
      <x:c r="M203" t="n">
        <x:f>G203-F203</x:f>
        <x:v>3</x:v>
      </x:c>
      <x:c r="N203" t="n">
        <x:f>H203-F203</x:f>
        <x:v>3</x:v>
      </x:c>
    </x:row>
    <x:row r="204">
      <x:c r="A204" s="1" t="str">
        <x:v>PO0203</x:v>
      </x:c>
      <x:c r="B204" s="1" t="str">
        <x:v>SUP07</x:v>
      </x:c>
      <x:c r="C204" s="1" t="str">
        <x:v>Chile</x:v>
      </x:c>
      <x:c r="D204" s="1" t="str">
        <x:v>Packaging</x:v>
      </x:c>
      <x:c r="E204" s="1" t="str">
        <x:v>Buyer 3</x:v>
      </x:c>
      <x:c r="F204" s="5" t="n">
        <x:v>46171</x:v>
      </x:c>
      <x:c r="G204" s="5" t="n">
        <x:v>46176</x:v>
      </x:c>
      <x:c r="H204" s="5" t="n">
        <x:v>46178</x:v>
      </x:c>
      <x:c r="I204" s="5" t="n">
        <x:v>46191</x:v>
      </x:c>
      <x:c r="J204" s="1" t="n">
        <x:v>894</x:v>
      </x:c>
      <x:c r="K204" s="6" t="n">
        <x:v>2.28</x:v>
      </x:c>
      <x:c r="L204" s="10" t="n">
        <x:f>J204*K204</x:f>
        <x:v>2038.32</x:v>
      </x:c>
      <x:c r="M204" t="n">
        <x:f>G204-F204</x:f>
        <x:v>5</x:v>
      </x:c>
      <x:c r="N204" t="n">
        <x:f>H204-F204</x:f>
        <x:v>7</x:v>
      </x:c>
    </x:row>
    <x:row r="205">
      <x:c r="A205" s="1" t="str">
        <x:v>PO0204</x:v>
      </x:c>
      <x:c r="B205" s="1" t="str">
        <x:v>SUP07</x:v>
      </x:c>
      <x:c r="C205" s="1" t="str">
        <x:v>Panama</x:v>
      </x:c>
      <x:c r="D205" s="1" t="str">
        <x:v>Packaging</x:v>
      </x:c>
      <x:c r="E205" s="1" t="str">
        <x:v>Buyer 4</x:v>
      </x:c>
      <x:c r="F205" s="5" t="n">
        <x:v>46260</x:v>
      </x:c>
      <x:c r="G205" s="5" t="n">
        <x:v>46264</x:v>
      </x:c>
      <x:c r="H205" s="5" t="n">
        <x:v>46266</x:v>
      </x:c>
      <x:c r="I205" s="5" t="n">
        <x:v>46287</x:v>
      </x:c>
      <x:c r="J205" s="1" t="n">
        <x:v>3192</x:v>
      </x:c>
      <x:c r="K205" s="6" t="n">
        <x:v>5.38</x:v>
      </x:c>
      <x:c r="L205" s="10" t="n">
        <x:f>J205*K205</x:f>
        <x:v>17172.96</x:v>
      </x:c>
      <x:c r="M205" t="n">
        <x:f>G205-F205</x:f>
        <x:v>4</x:v>
      </x:c>
      <x:c r="N205" t="n">
        <x:f>H205-F205</x:f>
        <x:v>6</x:v>
      </x:c>
    </x:row>
    <x:row r="206">
      <x:c r="A206" s="1" t="str">
        <x:v>PO0205</x:v>
      </x:c>
      <x:c r="B206" s="1" t="str">
        <x:v>SUP02</x:v>
      </x:c>
      <x:c r="C206" s="1" t="str">
        <x:v>Mexico</x:v>
      </x:c>
      <x:c r="D206" s="1" t="str">
        <x:v>Ingredients</x:v>
      </x:c>
      <x:c r="E206" s="1" t="str">
        <x:v>Buyer 1</x:v>
      </x:c>
      <x:c r="F206" s="5" t="n">
        <x:v>46069</x:v>
      </x:c>
      <x:c r="G206" s="5" t="n">
        <x:v>46072</x:v>
      </x:c>
      <x:c r="H206" s="5" t="n">
        <x:v>46074</x:v>
      </x:c>
      <x:c r="I206" s="5" t="n">
        <x:v>46097</x:v>
      </x:c>
      <x:c r="J206" s="1" t="n">
        <x:v>2455</x:v>
      </x:c>
      <x:c r="K206" s="6" t="n">
        <x:v>15.03</x:v>
      </x:c>
      <x:c r="L206" s="10" t="n">
        <x:f>J206*K206</x:f>
        <x:v>36898.65</x:v>
      </x:c>
      <x:c r="M206" t="n">
        <x:f>G206-F206</x:f>
        <x:v>3</x:v>
      </x:c>
      <x:c r="N206" t="n">
        <x:f>H206-F206</x:f>
        <x:v>5</x:v>
      </x:c>
    </x:row>
    <x:row r="207">
      <x:c r="A207" s="1" t="str">
        <x:v>PO0206</x:v>
      </x:c>
      <x:c r="B207" s="1" t="str">
        <x:v>SUP01</x:v>
      </x:c>
      <x:c r="C207" s="1" t="str">
        <x:v>Colombia</x:v>
      </x:c>
      <x:c r="D207" s="1" t="str">
        <x:v>Packaging</x:v>
      </x:c>
      <x:c r="E207" s="1" t="str">
        <x:v>Buyer 2</x:v>
      </x:c>
      <x:c r="F207" s="5" t="n">
        <x:v>46158</x:v>
      </x:c>
      <x:c r="G207" s="5" t="n">
        <x:v>46163</x:v>
      </x:c>
      <x:c r="H207" s="5" t="n">
        <x:v>46165</x:v>
      </x:c>
      <x:c r="I207" s="5" t="n">
        <x:v>46189</x:v>
      </x:c>
      <x:c r="J207" s="1" t="n">
        <x:v>3112</x:v>
      </x:c>
      <x:c r="K207" s="6" t="n">
        <x:v>2.7</x:v>
      </x:c>
      <x:c r="L207" s="10" t="n">
        <x:f>J207*K207</x:f>
        <x:v>8402.400000000001</x:v>
      </x:c>
      <x:c r="M207" t="n">
        <x:f>G207-F207</x:f>
        <x:v>5</x:v>
      </x:c>
      <x:c r="N207" t="n">
        <x:f>H207-F207</x:f>
        <x:v>7</x:v>
      </x:c>
    </x:row>
    <x:row r="208">
      <x:c r="A208" s="1" t="str">
        <x:v>PO0207</x:v>
      </x:c>
      <x:c r="B208" s="1" t="str">
        <x:v>SUP14</x:v>
      </x:c>
      <x:c r="C208" s="1" t="str">
        <x:v>Costa Rica</x:v>
      </x:c>
      <x:c r="D208" s="1" t="str">
        <x:v>Ingredients</x:v>
      </x:c>
      <x:c r="E208" s="1" t="str">
        <x:v>Buyer 3</x:v>
      </x:c>
      <x:c r="F208" s="5" t="n">
        <x:v>46048</x:v>
      </x:c>
      <x:c r="G208" s="5" t="n">
        <x:v>46051</x:v>
      </x:c>
      <x:c r="H208" s="5" t="n">
        <x:v>46053</x:v>
      </x:c>
      <x:c r="I208" s="5" t="n">
        <x:v>46065</x:v>
      </x:c>
      <x:c r="J208" s="1" t="n">
        <x:v>4238</x:v>
      </x:c>
      <x:c r="K208" s="6" t="n">
        <x:v>2.39</x:v>
      </x:c>
      <x:c r="L208" s="10" t="n">
        <x:f>J208*K208</x:f>
        <x:v>10128.82</x:v>
      </x:c>
      <x:c r="M208" t="n">
        <x:f>G208-F208</x:f>
        <x:v>3</x:v>
      </x:c>
      <x:c r="N208" t="n">
        <x:f>H208-F208</x:f>
        <x:v>5</x:v>
      </x:c>
    </x:row>
    <x:row r="209">
      <x:c r="A209" s="1" t="str">
        <x:v>PO0208</x:v>
      </x:c>
      <x:c r="B209" s="1" t="str">
        <x:v>SUP10</x:v>
      </x:c>
      <x:c r="C209" s="1" t="str">
        <x:v>Guatemala</x:v>
      </x:c>
      <x:c r="D209" s="1" t="str">
        <x:v>Packaging</x:v>
      </x:c>
      <x:c r="E209" s="1" t="str">
        <x:v>Buyer 4</x:v>
      </x:c>
      <x:c r="F209" s="5" t="n">
        <x:v>46079</x:v>
      </x:c>
      <x:c r="G209" s="5" t="n">
        <x:v>46084</x:v>
      </x:c>
      <x:c r="H209" s="5" t="n">
        <x:v>46085</x:v>
      </x:c>
      <x:c r="I209" s="5" t="n">
        <x:v>46101</x:v>
      </x:c>
      <x:c r="J209" s="1" t="n">
        <x:v>1492</x:v>
      </x:c>
      <x:c r="K209" s="6" t="n">
        <x:v>12.41</x:v>
      </x:c>
      <x:c r="L209" s="10" t="n">
        <x:f>J209*K209</x:f>
        <x:v>18515.72</x:v>
      </x:c>
      <x:c r="M209" t="n">
        <x:f>G209-F209</x:f>
        <x:v>5</x:v>
      </x:c>
      <x:c r="N209" t="n">
        <x:f>H209-F209</x:f>
        <x:v>6</x:v>
      </x:c>
    </x:row>
    <x:row r="210">
      <x:c r="A210" s="1" t="str">
        <x:v>PO0209</x:v>
      </x:c>
      <x:c r="B210" s="1" t="str">
        <x:v>SUP09</x:v>
      </x:c>
      <x:c r="C210" s="1" t="str">
        <x:v>Peru</x:v>
      </x:c>
      <x:c r="D210" s="1" t="str">
        <x:v>Maintenance services</x:v>
      </x:c>
      <x:c r="E210" s="1" t="str">
        <x:v>Buyer 1</x:v>
      </x:c>
      <x:c r="F210" s="5" t="n">
        <x:v>46137</x:v>
      </x:c>
      <x:c r="G210" s="5" t="n">
        <x:v>46140</x:v>
      </x:c>
      <x:c r="H210" s="5" t="n">
        <x:v>46141</x:v>
      </x:c>
      <x:c r="I210" s="5" t="n">
        <x:v>46158</x:v>
      </x:c>
      <x:c r="J210" s="1" t="n">
        <x:v>1993</x:v>
      </x:c>
      <x:c r="K210" s="6" t="n">
        <x:v>13.54</x:v>
      </x:c>
      <x:c r="L210" s="10" t="n">
        <x:f>J210*K210</x:f>
        <x:v>26985.219999999998</x:v>
      </x:c>
      <x:c r="M210" t="n">
        <x:f>G210-F210</x:f>
        <x:v>3</x:v>
      </x:c>
      <x:c r="N210" t="n">
        <x:f>H210-F210</x:f>
        <x:v>4</x:v>
      </x:c>
    </x:row>
    <x:row r="211">
      <x:c r="A211" s="1" t="str">
        <x:v>PO0210</x:v>
      </x:c>
      <x:c r="B211" s="1" t="str">
        <x:v>SUP11</x:v>
      </x:c>
      <x:c r="C211" s="1" t="str">
        <x:v>Chile</x:v>
      </x:c>
      <x:c r="D211" s="1" t="str">
        <x:v>Ingredients</x:v>
      </x:c>
      <x:c r="E211" s="1" t="str">
        <x:v>Buyer 2</x:v>
      </x:c>
      <x:c r="F211" s="5" t="n">
        <x:v>46218</x:v>
      </x:c>
      <x:c r="G211" s="5" t="n">
        <x:v>46221</x:v>
      </x:c>
      <x:c r="H211" s="5" t="n">
        <x:v>46223</x:v>
      </x:c>
      <x:c r="I211" s="5" t="n">
        <x:v>46232</x:v>
      </x:c>
      <x:c r="J211" s="1" t="n">
        <x:v>3982</x:v>
      </x:c>
      <x:c r="K211" s="6" t="n">
        <x:v>12.89</x:v>
      </x:c>
      <x:c r="L211" s="10" t="n">
        <x:f>J211*K211</x:f>
        <x:v>51327.98</x:v>
      </x:c>
      <x:c r="M211" t="n">
        <x:f>G211-F211</x:f>
        <x:v>3</x:v>
      </x:c>
      <x:c r="N211" t="n">
        <x:f>H211-F211</x:f>
        <x:v>5</x:v>
      </x:c>
    </x:row>
    <x:row r="212">
      <x:c r="A212" s="1" t="str">
        <x:v>PO0211</x:v>
      </x:c>
      <x:c r="B212" s="1" t="str">
        <x:v>SUP06</x:v>
      </x:c>
      <x:c r="C212" s="1" t="str">
        <x:v>Panama</x:v>
      </x:c>
      <x:c r="D212" s="1" t="str">
        <x:v>Maintenance services</x:v>
      </x:c>
      <x:c r="E212" s="1" t="str">
        <x:v>Buyer 3</x:v>
      </x:c>
      <x:c r="F212" s="5" t="n">
        <x:v>46182</x:v>
      </x:c>
      <x:c r="G212" s="5" t="n">
        <x:v>46183</x:v>
      </x:c>
      <x:c r="H212" s="5" t="n">
        <x:v>46184</x:v>
      </x:c>
      <x:c r="I212" s="5" t="n">
        <x:v>46208</x:v>
      </x:c>
      <x:c r="J212" s="1" t="n">
        <x:v>2141</x:v>
      </x:c>
      <x:c r="K212" s="6" t="n">
        <x:v>5.21</x:v>
      </x:c>
      <x:c r="L212" s="10" t="n">
        <x:f>J212*K212</x:f>
        <x:v>11154.61</x:v>
      </x:c>
      <x:c r="M212" t="n">
        <x:f>G212-F212</x:f>
        <x:v>1</x:v>
      </x:c>
      <x:c r="N212" t="n">
        <x:f>H212-F212</x:f>
        <x:v>2</x:v>
      </x:c>
    </x:row>
    <x:row r="213">
      <x:c r="A213" s="1" t="str">
        <x:v>PO0212</x:v>
      </x:c>
      <x:c r="B213" s="1" t="str">
        <x:v>SUP09</x:v>
      </x:c>
      <x:c r="C213" s="1" t="str">
        <x:v>Mexico</x:v>
      </x:c>
      <x:c r="D213" s="1" t="str">
        <x:v>Maintenance services</x:v>
      </x:c>
      <x:c r="E213" s="1" t="str">
        <x:v>Buyer 4</x:v>
      </x:c>
      <x:c r="F213" s="5" t="n">
        <x:v>46138</x:v>
      </x:c>
      <x:c r="G213" s="5" t="n">
        <x:v>46143</x:v>
      </x:c>
      <x:c r="H213" s="5" t="n">
        <x:v>46144</x:v>
      </x:c>
      <x:c r="I213" s="5" t="n">
        <x:v>46160</x:v>
      </x:c>
      <x:c r="J213" s="1" t="n">
        <x:v>468</x:v>
      </x:c>
      <x:c r="K213" s="6" t="n">
        <x:v>7.98</x:v>
      </x:c>
      <x:c r="L213" s="10" t="n">
        <x:f>J213*K213</x:f>
        <x:v>3734.6400000000003</x:v>
      </x:c>
      <x:c r="M213" t="n">
        <x:f>G213-F213</x:f>
        <x:v>5</x:v>
      </x:c>
      <x:c r="N213" t="n">
        <x:f>H213-F213</x:f>
        <x:v>6</x:v>
      </x:c>
    </x:row>
    <x:row r="214">
      <x:c r="A214" s="1" t="str">
        <x:v>PO0213</x:v>
      </x:c>
      <x:c r="B214" s="1" t="str">
        <x:v>SUP08</x:v>
      </x:c>
      <x:c r="C214" s="1" t="str">
        <x:v>Colombia</x:v>
      </x:c>
      <x:c r="D214" s="1" t="str">
        <x:v>Ingredients</x:v>
      </x:c>
      <x:c r="E214" s="1" t="str">
        <x:v>Buyer 1</x:v>
      </x:c>
      <x:c r="F214" s="5" t="n">
        <x:v>46071</x:v>
      </x:c>
      <x:c r="G214" s="5" t="n">
        <x:v>46075</x:v>
      </x:c>
      <x:c r="H214" s="5" t="n">
        <x:v>46075</x:v>
      </x:c>
      <x:c r="I214" s="5" t="n">
        <x:v>46092</x:v>
      </x:c>
      <x:c r="J214" s="1" t="n">
        <x:v>1556</x:v>
      </x:c>
      <x:c r="K214" s="6" t="n">
        <x:v>10.31</x:v>
      </x:c>
      <x:c r="L214" s="10" t="n">
        <x:f>J214*K214</x:f>
        <x:v>16042.36</x:v>
      </x:c>
      <x:c r="M214" t="n">
        <x:f>G214-F214</x:f>
        <x:v>4</x:v>
      </x:c>
      <x:c r="N214" t="n">
        <x:f>H214-F214</x:f>
        <x:v>4</x:v>
      </x:c>
    </x:row>
    <x:row r="215">
      <x:c r="A215" s="1" t="str">
        <x:v>PO0214</x:v>
      </x:c>
      <x:c r="B215" s="1" t="str">
        <x:v>SUP14</x:v>
      </x:c>
      <x:c r="C215" s="1" t="str">
        <x:v>Costa Rica</x:v>
      </x:c>
      <x:c r="D215" s="1" t="str">
        <x:v>Ingredients</x:v>
      </x:c>
      <x:c r="E215" s="1" t="str">
        <x:v>Buyer 2</x:v>
      </x:c>
      <x:c r="F215" s="5" t="n">
        <x:v>46213</x:v>
      </x:c>
      <x:c r="G215" s="5" t="n">
        <x:v>46214</x:v>
      </x:c>
      <x:c r="H215" s="5" t="n">
        <x:v>46216</x:v>
      </x:c>
      <x:c r="I215" s="5" t="n">
        <x:v>46224</x:v>
      </x:c>
      <x:c r="J215" s="1" t="n">
        <x:v>3401</x:v>
      </x:c>
      <x:c r="K215" s="6" t="n">
        <x:v>12.31</x:v>
      </x:c>
      <x:c r="L215" s="10" t="n">
        <x:f>J215*K215</x:f>
        <x:v>41866.310000000005</x:v>
      </x:c>
      <x:c r="M215" t="n">
        <x:f>G215-F215</x:f>
        <x:v>1</x:v>
      </x:c>
      <x:c r="N215" t="n">
        <x:f>H215-F215</x:f>
        <x:v>3</x:v>
      </x:c>
    </x:row>
    <x:row r="216">
      <x:c r="A216" s="1" t="str">
        <x:v>PO0215</x:v>
      </x:c>
      <x:c r="B216" s="1" t="str">
        <x:v>SUP03</x:v>
      </x:c>
      <x:c r="C216" s="1" t="str">
        <x:v>Guatemala</x:v>
      </x:c>
      <x:c r="D216" s="1" t="str">
        <x:v>Maintenance services</x:v>
      </x:c>
      <x:c r="E216" s="1" t="str">
        <x:v>Buyer 3</x:v>
      </x:c>
      <x:c r="F216" s="5" t="n">
        <x:v>46075</x:v>
      </x:c>
      <x:c r="G216" s="5" t="n">
        <x:v>46077</x:v>
      </x:c>
      <x:c r="H216" s="5" t="n">
        <x:v>46078</x:v>
      </x:c>
      <x:c r="I216" s="5" t="n">
        <x:v>46098</x:v>
      </x:c>
      <x:c r="J216" s="1" t="n">
        <x:v>2434</x:v>
      </x:c>
      <x:c r="K216" s="6" t="n">
        <x:v>15.83</x:v>
      </x:c>
      <x:c r="L216" s="10" t="n">
        <x:f>J216*K216</x:f>
        <x:v>38530.22</x:v>
      </x:c>
      <x:c r="M216" t="n">
        <x:f>G216-F216</x:f>
        <x:v>2</x:v>
      </x:c>
      <x:c r="N216" t="n">
        <x:f>H216-F216</x:f>
        <x:v>3</x:v>
      </x:c>
    </x:row>
    <x:row r="217">
      <x:c r="A217" s="1" t="str">
        <x:v>PO0216</x:v>
      </x:c>
      <x:c r="B217" s="1" t="str">
        <x:v>SUP11</x:v>
      </x:c>
      <x:c r="C217" s="1" t="str">
        <x:v>Peru</x:v>
      </x:c>
      <x:c r="D217" s="1" t="str">
        <x:v>Ingredients</x:v>
      </x:c>
      <x:c r="E217" s="1" t="str">
        <x:v>Buyer 4</x:v>
      </x:c>
      <x:c r="F217" s="5" t="n">
        <x:v>46051</x:v>
      </x:c>
      <x:c r="G217" s="5" t="n">
        <x:v>46054</x:v>
      </x:c>
      <x:c r="H217" s="5" t="n">
        <x:v>46055</x:v>
      </x:c>
      <x:c r="I217" s="5" t="n">
        <x:v>46078</x:v>
      </x:c>
      <x:c r="J217" s="1" t="n">
        <x:v>2857</x:v>
      </x:c>
      <x:c r="K217" s="6" t="n">
        <x:v>2.58</x:v>
      </x:c>
      <x:c r="L217" s="10" t="n">
        <x:f>J217*K217</x:f>
        <x:v>7371.06</x:v>
      </x:c>
      <x:c r="M217" t="n">
        <x:f>G217-F217</x:f>
        <x:v>3</x:v>
      </x:c>
      <x:c r="N217" t="n">
        <x:f>H217-F217</x:f>
        <x:v>4</x:v>
      </x:c>
    </x:row>
    <x:row r="218">
      <x:c r="A218" s="1" t="str">
        <x:v>PO0217</x:v>
      </x:c>
      <x:c r="B218" s="1" t="str">
        <x:v>SUP09</x:v>
      </x:c>
      <x:c r="C218" s="1" t="str">
        <x:v>Chile</x:v>
      </x:c>
      <x:c r="D218" s="1" t="str">
        <x:v>Maintenance services</x:v>
      </x:c>
      <x:c r="E218" s="1" t="str">
        <x:v>Buyer 1</x:v>
      </x:c>
      <x:c r="F218" s="5" t="n">
        <x:v>46157</x:v>
      </x:c>
      <x:c r="G218" s="5" t="n">
        <x:v>46161</x:v>
      </x:c>
      <x:c r="H218" s="5" t="n">
        <x:v>46163</x:v>
      </x:c>
      <x:c r="I218" s="5" t="n">
        <x:v>46174</x:v>
      </x:c>
      <x:c r="J218" s="1" t="n">
        <x:v>4543</x:v>
      </x:c>
      <x:c r="K218" s="6" t="n">
        <x:v>18.99</x:v>
      </x:c>
      <x:c r="L218" s="10" t="n">
        <x:f>J218*K218</x:f>
        <x:v>86271.56999999999</x:v>
      </x:c>
      <x:c r="M218" t="n">
        <x:f>G218-F218</x:f>
        <x:v>4</x:v>
      </x:c>
      <x:c r="N218" t="n">
        <x:f>H218-F218</x:f>
        <x:v>6</x:v>
      </x:c>
    </x:row>
    <x:row r="219">
      <x:c r="A219" s="1" t="str">
        <x:v>PO0218</x:v>
      </x:c>
      <x:c r="B219" s="1" t="str">
        <x:v>SUP02</x:v>
      </x:c>
      <x:c r="C219" s="1" t="str">
        <x:v>Panama</x:v>
      </x:c>
      <x:c r="D219" s="1" t="str">
        <x:v>Ingredients</x:v>
      </x:c>
      <x:c r="E219" s="1" t="str">
        <x:v>Buyer 2</x:v>
      </x:c>
      <x:c r="F219" s="5" t="n">
        <x:v>46203</x:v>
      </x:c>
      <x:c r="G219" s="5" t="n">
        <x:v>46206</x:v>
      </x:c>
      <x:c r="H219" s="5" t="n">
        <x:v>46206</x:v>
      </x:c>
      <x:c r="I219" s="5" t="n">
        <x:v>46224</x:v>
      </x:c>
      <x:c r="J219" s="1" t="n">
        <x:v>1511</x:v>
      </x:c>
      <x:c r="K219" s="6" t="n">
        <x:v>16.94</x:v>
      </x:c>
      <x:c r="L219" s="10" t="n">
        <x:f>J219*K219</x:f>
        <x:v>25596.34</x:v>
      </x:c>
      <x:c r="M219" t="n">
        <x:f>G219-F219</x:f>
        <x:v>3</x:v>
      </x:c>
      <x:c r="N219" t="n">
        <x:f>H219-F219</x:f>
        <x:v>3</x:v>
      </x:c>
    </x:row>
    <x:row r="220">
      <x:c r="A220" s="1" t="str">
        <x:v>PO0219</x:v>
      </x:c>
      <x:c r="B220" s="1" t="str">
        <x:v>SUP08</x:v>
      </x:c>
      <x:c r="C220" s="1" t="str">
        <x:v>Mexico</x:v>
      </x:c>
      <x:c r="D220" s="1" t="str">
        <x:v>Ingredients</x:v>
      </x:c>
      <x:c r="E220" s="1" t="str">
        <x:v>Buyer 3</x:v>
      </x:c>
      <x:c r="F220" s="5" t="n">
        <x:v>46095</x:v>
      </x:c>
      <x:c r="G220" s="5" t="n">
        <x:v>46099</x:v>
      </x:c>
      <x:c r="H220" s="5" t="n">
        <x:v>46100</x:v>
      </x:c>
      <x:c r="I220" s="5" t="n">
        <x:v>46119</x:v>
      </x:c>
      <x:c r="J220" s="1" t="n">
        <x:v>4650</x:v>
      </x:c>
      <x:c r="K220" s="6" t="n">
        <x:v>15.08</x:v>
      </x:c>
      <x:c r="L220" s="10" t="n">
        <x:f>J220*K220</x:f>
        <x:v>70122</x:v>
      </x:c>
      <x:c r="M220" t="n">
        <x:f>G220-F220</x:f>
        <x:v>4</x:v>
      </x:c>
      <x:c r="N220" t="n">
        <x:f>H220-F220</x:f>
        <x:v>5</x:v>
      </x:c>
    </x:row>
    <x:row r="221">
      <x:c r="A221" s="1" t="str">
        <x:v>PO0220</x:v>
      </x:c>
      <x:c r="B221" s="1" t="str">
        <x:v>SUP04</x:v>
      </x:c>
      <x:c r="C221" s="1" t="str">
        <x:v>Colombia</x:v>
      </x:c>
      <x:c r="D221" s="1" t="str">
        <x:v>Packaging</x:v>
      </x:c>
      <x:c r="E221" s="1" t="str">
        <x:v>Buyer 4</x:v>
      </x:c>
      <x:c r="F221" s="5" t="n">
        <x:v>46247</x:v>
      </x:c>
      <x:c r="G221" s="5" t="n">
        <x:v>46250</x:v>
      </x:c>
      <x:c r="H221" s="5" t="n">
        <x:v>46251</x:v>
      </x:c>
      <x:c r="I221" s="5" t="n">
        <x:v>46270</x:v>
      </x:c>
      <x:c r="J221" s="1" t="n">
        <x:v>996</x:v>
      </x:c>
      <x:c r="K221" s="6" t="n">
        <x:v>14.69</x:v>
      </x:c>
      <x:c r="L221" s="10" t="n">
        <x:f>J221*K221</x:f>
        <x:v>14631.24</x:v>
      </x:c>
      <x:c r="M221" t="n">
        <x:f>G221-F221</x:f>
        <x:v>3</x:v>
      </x:c>
      <x:c r="N221" t="n">
        <x:f>H221-F221</x:f>
        <x:v>4</x:v>
      </x:c>
    </x:row>
    <x:row r="222">
      <x:c r="A222" s="1" t="str">
        <x:v>PO0221</x:v>
      </x:c>
      <x:c r="B222" s="1" t="str">
        <x:v>SUP01</x:v>
      </x:c>
      <x:c r="C222" s="1" t="str">
        <x:v>Costa Rica</x:v>
      </x:c>
      <x:c r="D222" s="1" t="str">
        <x:v>Packaging</x:v>
      </x:c>
      <x:c r="E222" s="1" t="str">
        <x:v>Buyer 1</x:v>
      </x:c>
      <x:c r="F222" s="5" t="n">
        <x:v>46212</x:v>
      </x:c>
      <x:c r="G222" s="5" t="n">
        <x:v>46213</x:v>
      </x:c>
      <x:c r="H222" s="5" t="n">
        <x:v>46215</x:v>
      </x:c>
      <x:c r="I222" s="5" t="n">
        <x:v>46240</x:v>
      </x:c>
      <x:c r="J222" s="1" t="n">
        <x:v>962</x:v>
      </x:c>
      <x:c r="K222" s="6" t="n">
        <x:v>1.26</x:v>
      </x:c>
      <x:c r="L222" s="10" t="n">
        <x:f>J222*K222</x:f>
        <x:v>1212.1200000000001</x:v>
      </x:c>
      <x:c r="M222" t="n">
        <x:f>G222-F222</x:f>
        <x:v>1</x:v>
      </x:c>
      <x:c r="N222" t="n">
        <x:f>H222-F222</x:f>
        <x:v>3</x:v>
      </x:c>
    </x:row>
    <x:row r="223">
      <x:c r="A223" s="1" t="str">
        <x:v>PO0222</x:v>
      </x:c>
      <x:c r="B223" s="1" t="str">
        <x:v>SUP05</x:v>
      </x:c>
      <x:c r="C223" s="1" t="str">
        <x:v>Guatemala</x:v>
      </x:c>
      <x:c r="D223" s="1" t="str">
        <x:v>Ingredients</x:v>
      </x:c>
      <x:c r="E223" s="1" t="str">
        <x:v>Buyer 2</x:v>
      </x:c>
      <x:c r="F223" s="5" t="n">
        <x:v>46221</x:v>
      </x:c>
      <x:c r="G223" s="5" t="n">
        <x:v>46225</x:v>
      </x:c>
      <x:c r="H223" s="5" t="n">
        <x:v>46226</x:v>
      </x:c>
      <x:c r="I223" s="5" t="n">
        <x:v>46237</x:v>
      </x:c>
      <x:c r="J223" s="1" t="n">
        <x:v>3553</x:v>
      </x:c>
      <x:c r="K223" s="6" t="n">
        <x:v>17.07</x:v>
      </x:c>
      <x:c r="L223" s="10" t="n">
        <x:f>J223*K223</x:f>
        <x:v>60649.71</x:v>
      </x:c>
      <x:c r="M223" t="n">
        <x:f>G223-F223</x:f>
        <x:v>4</x:v>
      </x:c>
      <x:c r="N223" t="n">
        <x:f>H223-F223</x:f>
        <x:v>5</x:v>
      </x:c>
    </x:row>
    <x:row r="224">
      <x:c r="A224" s="1" t="str">
        <x:v>PO0223</x:v>
      </x:c>
      <x:c r="B224" s="1" t="str">
        <x:v>SUP04</x:v>
      </x:c>
      <x:c r="C224" s="1" t="str">
        <x:v>Peru</x:v>
      </x:c>
      <x:c r="D224" s="1" t="str">
        <x:v>Packaging</x:v>
      </x:c>
      <x:c r="E224" s="1" t="str">
        <x:v>Buyer 3</x:v>
      </x:c>
      <x:c r="F224" s="5" t="n">
        <x:v>46112</x:v>
      </x:c>
      <x:c r="G224" s="5" t="n">
        <x:v>46113</x:v>
      </x:c>
      <x:c r="H224" s="5" t="n">
        <x:v>46113</x:v>
      </x:c>
      <x:c r="I224" s="5" t="n">
        <x:v>46138</x:v>
      </x:c>
      <x:c r="J224" s="1" t="n">
        <x:v>2953</x:v>
      </x:c>
      <x:c r="K224" s="6" t="n">
        <x:v>22.63</x:v>
      </x:c>
      <x:c r="L224" s="10" t="n">
        <x:f>J224*K224</x:f>
        <x:v>66826.39</x:v>
      </x:c>
      <x:c r="M224" t="n">
        <x:f>G224-F224</x:f>
        <x:v>1</x:v>
      </x:c>
      <x:c r="N224" t="n">
        <x:f>H224-F224</x:f>
        <x:v>1</x:v>
      </x:c>
    </x:row>
    <x:row r="225">
      <x:c r="A225" s="1" t="str">
        <x:v>PO0224</x:v>
      </x:c>
      <x:c r="B225" s="1" t="str">
        <x:v>SUP11</x:v>
      </x:c>
      <x:c r="C225" s="1" t="str">
        <x:v>Chile</x:v>
      </x:c>
      <x:c r="D225" s="1" t="str">
        <x:v>Ingredients</x:v>
      </x:c>
      <x:c r="E225" s="1" t="str">
        <x:v>Buyer 4</x:v>
      </x:c>
      <x:c r="F225" s="5" t="n">
        <x:v>46116</x:v>
      </x:c>
      <x:c r="G225" s="5" t="n">
        <x:v>46118</x:v>
      </x:c>
      <x:c r="H225" s="5" t="n">
        <x:v>46120</x:v>
      </x:c>
      <x:c r="I225" s="5" t="n">
        <x:v>46137</x:v>
      </x:c>
      <x:c r="J225" s="1" t="n">
        <x:v>2351</x:v>
      </x:c>
      <x:c r="K225" s="6" t="n">
        <x:v>5.38</x:v>
      </x:c>
      <x:c r="L225" s="10" t="n">
        <x:f>J225*K225</x:f>
        <x:v>12648.38</x:v>
      </x:c>
      <x:c r="M225" t="n">
        <x:f>G225-F225</x:f>
        <x:v>2</x:v>
      </x:c>
      <x:c r="N225" t="n">
        <x:f>H225-F225</x:f>
        <x:v>4</x:v>
      </x:c>
    </x:row>
    <x:row r="226">
      <x:c r="A226" s="1" t="str">
        <x:v>PO0225</x:v>
      </x:c>
      <x:c r="B226" s="1" t="str">
        <x:v>SUP05</x:v>
      </x:c>
      <x:c r="C226" s="1" t="str">
        <x:v>Panama</x:v>
      </x:c>
      <x:c r="D226" s="1" t="str">
        <x:v>Ingredients</x:v>
      </x:c>
      <x:c r="E226" s="1" t="str">
        <x:v>Buyer 1</x:v>
      </x:c>
      <x:c r="F226" s="5" t="n">
        <x:v>46025</x:v>
      </x:c>
      <x:c r="G226" s="5" t="n">
        <x:v>46030</x:v>
      </x:c>
      <x:c r="H226" s="5" t="n">
        <x:v>46031</x:v>
      </x:c>
      <x:c r="I226" s="5" t="n">
        <x:v>46044</x:v>
      </x:c>
      <x:c r="J226" s="1" t="n">
        <x:v>4573</x:v>
      </x:c>
      <x:c r="K226" s="6" t="n">
        <x:v>17.85</x:v>
      </x:c>
      <x:c r="L226" s="10" t="n">
        <x:f>J226*K226</x:f>
        <x:v>81628.05</x:v>
      </x:c>
      <x:c r="M226" t="n">
        <x:f>G226-F226</x:f>
        <x:v>5</x:v>
      </x:c>
      <x:c r="N226" t="n">
        <x:f>H226-F226</x:f>
        <x:v>6</x:v>
      </x:c>
    </x:row>
    <x:row r="227">
      <x:c r="A227" s="1" t="str">
        <x:v>PO0226</x:v>
      </x:c>
      <x:c r="B227" s="1" t="str">
        <x:v>SUP01</x:v>
      </x:c>
      <x:c r="C227" s="1" t="str">
        <x:v>Mexico</x:v>
      </x:c>
      <x:c r="D227" s="1" t="str">
        <x:v>Packaging</x:v>
      </x:c>
      <x:c r="E227" s="1" t="str">
        <x:v>Buyer 2</x:v>
      </x:c>
      <x:c r="F227" s="5" t="n">
        <x:v>46228</x:v>
      </x:c>
      <x:c r="G227" s="5" t="n">
        <x:v>46231</x:v>
      </x:c>
      <x:c r="H227" s="5" t="n">
        <x:v>46232</x:v>
      </x:c>
      <x:c r="I227" s="5" t="n">
        <x:v>46249</x:v>
      </x:c>
      <x:c r="J227" s="1" t="n">
        <x:v>2895</x:v>
      </x:c>
      <x:c r="K227" s="6" t="n">
        <x:v>24.6</x:v>
      </x:c>
      <x:c r="L227" s="10" t="n">
        <x:f>J227*K227</x:f>
        <x:v>71217</x:v>
      </x:c>
      <x:c r="M227" t="n">
        <x:f>G227-F227</x:f>
        <x:v>3</x:v>
      </x:c>
      <x:c r="N227" t="n">
        <x:f>H227-F227</x:f>
        <x:v>4</x:v>
      </x:c>
    </x:row>
    <x:row r="228">
      <x:c r="A228" s="1" t="str">
        <x:v>PO0227</x:v>
      </x:c>
      <x:c r="B228" s="1" t="str">
        <x:v>SUP05</x:v>
      </x:c>
      <x:c r="C228" s="1" t="str">
        <x:v>Colombia</x:v>
      </x:c>
      <x:c r="D228" s="1" t="str">
        <x:v>Ingredients</x:v>
      </x:c>
      <x:c r="E228" s="1" t="str">
        <x:v>Buyer 3</x:v>
      </x:c>
      <x:c r="F228" s="5" t="n">
        <x:v>46174</x:v>
      </x:c>
      <x:c r="G228" s="5" t="n">
        <x:v>46176</x:v>
      </x:c>
      <x:c r="H228" s="5" t="n">
        <x:v>46176</x:v>
      </x:c>
      <x:c r="I228" s="5" t="n">
        <x:v>46189</x:v>
      </x:c>
      <x:c r="J228" s="1" t="n">
        <x:v>3761</x:v>
      </x:c>
      <x:c r="K228" s="6" t="n">
        <x:v>17.89</x:v>
      </x:c>
      <x:c r="L228" s="10" t="n">
        <x:f>J228*K228</x:f>
        <x:v>67284.29000000001</x:v>
      </x:c>
      <x:c r="M228" t="n">
        <x:f>G228-F228</x:f>
        <x:v>2</x:v>
      </x:c>
      <x:c r="N228" t="n">
        <x:f>H228-F228</x:f>
        <x:v>2</x:v>
      </x:c>
    </x:row>
    <x:row r="229">
      <x:c r="A229" s="1" t="str">
        <x:v>PO0228</x:v>
      </x:c>
      <x:c r="B229" s="1" t="str">
        <x:v>SUP13</x:v>
      </x:c>
      <x:c r="C229" s="1" t="str">
        <x:v>Costa Rica</x:v>
      </x:c>
      <x:c r="D229" s="1" t="str">
        <x:v>Packaging</x:v>
      </x:c>
      <x:c r="E229" s="1" t="str">
        <x:v>Buyer 4</x:v>
      </x:c>
      <x:c r="F229" s="5" t="n">
        <x:v>46267</x:v>
      </x:c>
      <x:c r="G229" s="5" t="n">
        <x:v>46271</x:v>
      </x:c>
      <x:c r="H229" s="5" t="n">
        <x:v>46272</x:v>
      </x:c>
      <x:c r="I229" s="5" t="n">
        <x:v>46286</x:v>
      </x:c>
      <x:c r="J229" s="1" t="n">
        <x:v>4240</x:v>
      </x:c>
      <x:c r="K229" s="6" t="n">
        <x:v>8.98</x:v>
      </x:c>
      <x:c r="L229" s="10" t="n">
        <x:f>J229*K229</x:f>
        <x:v>38075.200000000004</x:v>
      </x:c>
      <x:c r="M229" t="n">
        <x:f>G229-F229</x:f>
        <x:v>4</x:v>
      </x:c>
      <x:c r="N229" t="n">
        <x:f>H229-F229</x:f>
        <x:v>5</x:v>
      </x:c>
    </x:row>
    <x:row r="230">
      <x:c r="A230" s="1" t="str">
        <x:v>PO0229</x:v>
      </x:c>
      <x:c r="B230" s="1" t="str">
        <x:v>SUP13</x:v>
      </x:c>
      <x:c r="C230" s="1" t="str">
        <x:v>Guatemala</x:v>
      </x:c>
      <x:c r="D230" s="1" t="str">
        <x:v>Packaging</x:v>
      </x:c>
      <x:c r="E230" s="1" t="str">
        <x:v>Buyer 1</x:v>
      </x:c>
      <x:c r="F230" s="5" t="n">
        <x:v>46169</x:v>
      </x:c>
      <x:c r="G230" s="5" t="n">
        <x:v>46174</x:v>
      </x:c>
      <x:c r="H230" s="5" t="n">
        <x:v>46174</x:v>
      </x:c>
      <x:c r="I230" s="5" t="n">
        <x:v>46182</x:v>
      </x:c>
      <x:c r="J230" s="1" t="n">
        <x:v>388</x:v>
      </x:c>
      <x:c r="K230" s="6" t="n">
        <x:v>9.34</x:v>
      </x:c>
      <x:c r="L230" s="10" t="n">
        <x:f>J230*K230</x:f>
        <x:v>3623.92</x:v>
      </x:c>
      <x:c r="M230" t="n">
        <x:f>G230-F230</x:f>
        <x:v>5</x:v>
      </x:c>
      <x:c r="N230" t="n">
        <x:f>H230-F230</x:f>
        <x:v>5</x:v>
      </x:c>
    </x:row>
    <x:row r="231">
      <x:c r="A231" s="1" t="str">
        <x:v>PO0230</x:v>
      </x:c>
      <x:c r="B231" s="1" t="str">
        <x:v>SUP13</x:v>
      </x:c>
      <x:c r="C231" s="1" t="str">
        <x:v>Peru</x:v>
      </x:c>
      <x:c r="D231" s="1" t="str">
        <x:v>Packaging</x:v>
      </x:c>
      <x:c r="E231" s="1" t="str">
        <x:v>Buyer 2</x:v>
      </x:c>
      <x:c r="F231" s="5" t="n">
        <x:v>46165</x:v>
      </x:c>
      <x:c r="G231" s="5" t="n">
        <x:v>46166</x:v>
      </x:c>
      <x:c r="H231" s="5" t="n">
        <x:v>46168</x:v>
      </x:c>
      <x:c r="I231" s="5" t="n">
        <x:v>46191</x:v>
      </x:c>
      <x:c r="J231" s="1" t="n">
        <x:v>2626</x:v>
      </x:c>
      <x:c r="K231" s="6" t="n">
        <x:v>14.28</x:v>
      </x:c>
      <x:c r="L231" s="10" t="n">
        <x:f>J231*K231</x:f>
        <x:v>37499.28</x:v>
      </x:c>
      <x:c r="M231" t="n">
        <x:f>G231-F231</x:f>
        <x:v>1</x:v>
      </x:c>
      <x:c r="N231" t="n">
        <x:f>H231-F231</x:f>
        <x:v>3</x:v>
      </x:c>
    </x:row>
    <x:row r="232">
      <x:c r="A232" s="1" t="str">
        <x:v>PO0231</x:v>
      </x:c>
      <x:c r="B232" s="1" t="str">
        <x:v>SUP11</x:v>
      </x:c>
      <x:c r="C232" s="1" t="str">
        <x:v>Chile</x:v>
      </x:c>
      <x:c r="D232" s="1" t="str">
        <x:v>Ingredients</x:v>
      </x:c>
      <x:c r="E232" s="1" t="str">
        <x:v>Buyer 3</x:v>
      </x:c>
      <x:c r="F232" s="5" t="n">
        <x:v>46278</x:v>
      </x:c>
      <x:c r="G232" s="5" t="n">
        <x:v>46279</x:v>
      </x:c>
      <x:c r="H232" s="5" t="n">
        <x:v>46280</x:v>
      </x:c>
      <x:c r="I232" s="5" t="n">
        <x:v>46293</x:v>
      </x:c>
      <x:c r="J232" s="1" t="n">
        <x:v>4445</x:v>
      </x:c>
      <x:c r="K232" s="6" t="n">
        <x:v>3.54</x:v>
      </x:c>
      <x:c r="L232" s="10" t="n">
        <x:f>J232*K232</x:f>
        <x:v>15735.3</x:v>
      </x:c>
      <x:c r="M232" t="n">
        <x:f>G232-F232</x:f>
        <x:v>1</x:v>
      </x:c>
      <x:c r="N232" t="n">
        <x:f>H232-F232</x:f>
        <x:v>2</x:v>
      </x:c>
    </x:row>
    <x:row r="233">
      <x:c r="A233" s="1" t="str">
        <x:v>PO0232</x:v>
      </x:c>
      <x:c r="B233" s="1" t="str">
        <x:v>SUP03</x:v>
      </x:c>
      <x:c r="C233" s="1" t="str">
        <x:v>Panama</x:v>
      </x:c>
      <x:c r="D233" s="1" t="str">
        <x:v>Maintenance services</x:v>
      </x:c>
      <x:c r="E233" s="1" t="str">
        <x:v>Buyer 4</x:v>
      </x:c>
      <x:c r="F233" s="5" t="n">
        <x:v>46171</x:v>
      </x:c>
      <x:c r="G233" s="5" t="n">
        <x:v>46177</x:v>
      </x:c>
      <x:c r="H233" s="5" t="n">
        <x:v>46177</x:v>
      </x:c>
      <x:c r="I233" s="5" t="n">
        <x:v>46186</x:v>
      </x:c>
      <x:c r="J233" s="1" t="n">
        <x:v>958</x:v>
      </x:c>
      <x:c r="K233" s="6" t="n">
        <x:v>7.18</x:v>
      </x:c>
      <x:c r="L233" s="10" t="n">
        <x:f>J233*K233</x:f>
        <x:v>6878.44</x:v>
      </x:c>
      <x:c r="M233" t="n">
        <x:f>G233-F233</x:f>
        <x:v>6</x:v>
      </x:c>
      <x:c r="N233" t="n">
        <x:f>H233-F233</x:f>
        <x:v>6</x:v>
      </x:c>
    </x:row>
    <x:row r="234">
      <x:c r="A234" s="1" t="str">
        <x:v>PO0233</x:v>
      </x:c>
      <x:c r="B234" s="1" t="str">
        <x:v>SUP04</x:v>
      </x:c>
      <x:c r="C234" s="1" t="str">
        <x:v>Mexico</x:v>
      </x:c>
      <x:c r="D234" s="1" t="str">
        <x:v>Packaging</x:v>
      </x:c>
      <x:c r="E234" s="1" t="str">
        <x:v>Buyer 1</x:v>
      </x:c>
      <x:c r="F234" s="5" t="n">
        <x:v>46036</x:v>
      </x:c>
      <x:c r="G234" s="5" t="n">
        <x:v>46040</x:v>
      </x:c>
      <x:c r="H234" s="5" t="n">
        <x:v>46042</x:v>
      </x:c>
      <x:c r="I234" s="5" t="n">
        <x:v>46050</x:v>
      </x:c>
      <x:c r="J234" s="1" t="n">
        <x:v>880</x:v>
      </x:c>
      <x:c r="K234" s="6" t="n">
        <x:v>12.92</x:v>
      </x:c>
      <x:c r="L234" s="10" t="n">
        <x:f>J234*K234</x:f>
        <x:v>11369.6</x:v>
      </x:c>
      <x:c r="M234" t="n">
        <x:f>G234-F234</x:f>
        <x:v>4</x:v>
      </x:c>
      <x:c r="N234" t="n">
        <x:f>H234-F234</x:f>
        <x:v>6</x:v>
      </x:c>
    </x:row>
    <x:row r="235">
      <x:c r="A235" s="1" t="str">
        <x:v>PO0234</x:v>
      </x:c>
      <x:c r="B235" s="1" t="str">
        <x:v>SUP11</x:v>
      </x:c>
      <x:c r="C235" s="1" t="str">
        <x:v>Colombia</x:v>
      </x:c>
      <x:c r="D235" s="1" t="str">
        <x:v>Ingredients</x:v>
      </x:c>
      <x:c r="E235" s="1" t="str">
        <x:v>Buyer 2</x:v>
      </x:c>
      <x:c r="F235" s="5" t="n">
        <x:v>46181</x:v>
      </x:c>
      <x:c r="G235" s="5" t="n">
        <x:v>46183</x:v>
      </x:c>
      <x:c r="H235" s="5" t="n">
        <x:v>46184</x:v>
      </x:c>
      <x:c r="I235" s="5" t="n">
        <x:v>46191</x:v>
      </x:c>
      <x:c r="J235" s="1" t="n">
        <x:v>1547</x:v>
      </x:c>
      <x:c r="K235" s="6" t="n">
        <x:v>14</x:v>
      </x:c>
      <x:c r="L235" s="10" t="n">
        <x:f>J235*K235</x:f>
        <x:v>21658</x:v>
      </x:c>
      <x:c r="M235" t="n">
        <x:f>G235-F235</x:f>
        <x:v>2</x:v>
      </x:c>
      <x:c r="N235" t="n">
        <x:f>H235-F235</x:f>
        <x:v>3</x:v>
      </x:c>
    </x:row>
    <x:row r="236">
      <x:c r="A236" s="1" t="str">
        <x:v>PO0235</x:v>
      </x:c>
      <x:c r="B236" s="1" t="str">
        <x:v>SUP11</x:v>
      </x:c>
      <x:c r="C236" s="1" t="str">
        <x:v>Costa Rica</x:v>
      </x:c>
      <x:c r="D236" s="1" t="str">
        <x:v>Ingredients</x:v>
      </x:c>
      <x:c r="E236" s="1" t="str">
        <x:v>Buyer 3</x:v>
      </x:c>
      <x:c r="F236" s="5" t="n">
        <x:v>46055</x:v>
      </x:c>
      <x:c r="G236" s="5" t="n">
        <x:v>46060</x:v>
      </x:c>
      <x:c r="H236" s="5" t="n">
        <x:v>46061</x:v>
      </x:c>
      <x:c r="I236" s="5" t="n">
        <x:v>46077</x:v>
      </x:c>
      <x:c r="J236" s="1" t="n">
        <x:v>2393</x:v>
      </x:c>
      <x:c r="K236" s="6" t="n">
        <x:v>9.88</x:v>
      </x:c>
      <x:c r="L236" s="10" t="n">
        <x:f>J236*K236</x:f>
        <x:v>23642.84</x:v>
      </x:c>
      <x:c r="M236" t="n">
        <x:f>G236-F236</x:f>
        <x:v>5</x:v>
      </x:c>
      <x:c r="N236" t="n">
        <x:f>H236-F236</x:f>
        <x:v>6</x:v>
      </x:c>
    </x:row>
    <x:row r="237">
      <x:c r="A237" s="1" t="str">
        <x:v>PO0236</x:v>
      </x:c>
      <x:c r="B237" s="1" t="str">
        <x:v>SUP11</x:v>
      </x:c>
      <x:c r="C237" s="1" t="str">
        <x:v>Guatemala</x:v>
      </x:c>
      <x:c r="D237" s="1" t="str">
        <x:v>Ingredients</x:v>
      </x:c>
      <x:c r="E237" s="1" t="str">
        <x:v>Buyer 4</x:v>
      </x:c>
      <x:c r="F237" s="5" t="n">
        <x:v>46034</x:v>
      </x:c>
      <x:c r="G237" s="5" t="n">
        <x:v>46038</x:v>
      </x:c>
      <x:c r="H237" s="5" t="n">
        <x:v>46039</x:v>
      </x:c>
      <x:c r="I237" s="5" t="n">
        <x:v>46060</x:v>
      </x:c>
      <x:c r="J237" s="1" t="n">
        <x:v>720</x:v>
      </x:c>
      <x:c r="K237" s="6" t="n">
        <x:v>9.7</x:v>
      </x:c>
      <x:c r="L237" s="10" t="n">
        <x:f>J237*K237</x:f>
        <x:v>6983.999999999999</x:v>
      </x:c>
      <x:c r="M237" t="n">
        <x:f>G237-F237</x:f>
        <x:v>4</x:v>
      </x:c>
      <x:c r="N237" t="n">
        <x:f>H237-F237</x:f>
        <x:v>5</x:v>
      </x:c>
    </x:row>
    <x:row r="238">
      <x:c r="A238" s="1" t="str">
        <x:v>PO0237</x:v>
      </x:c>
      <x:c r="B238" s="1" t="str">
        <x:v>SUP05</x:v>
      </x:c>
      <x:c r="C238" s="1" t="str">
        <x:v>Peru</x:v>
      </x:c>
      <x:c r="D238" s="1" t="str">
        <x:v>Ingredients</x:v>
      </x:c>
      <x:c r="E238" s="1" t="str">
        <x:v>Buyer 1</x:v>
      </x:c>
      <x:c r="F238" s="5" t="n">
        <x:v>46215</x:v>
      </x:c>
      <x:c r="G238" s="5" t="n">
        <x:v>46216</x:v>
      </x:c>
      <x:c r="H238" s="5" t="n">
        <x:v>46218</x:v>
      </x:c>
      <x:c r="I238" s="5" t="n">
        <x:v>46243</x:v>
      </x:c>
      <x:c r="J238" s="1" t="n">
        <x:v>4085</x:v>
      </x:c>
      <x:c r="K238" s="6" t="n">
        <x:v>23.62</x:v>
      </x:c>
      <x:c r="L238" s="10" t="n">
        <x:f>J238*K238</x:f>
        <x:v>96487.7</x:v>
      </x:c>
      <x:c r="M238" t="n">
        <x:f>G238-F238</x:f>
        <x:v>1</x:v>
      </x:c>
      <x:c r="N238" t="n">
        <x:f>H238-F238</x:f>
        <x:v>3</x:v>
      </x:c>
    </x:row>
    <x:row r="239">
      <x:c r="A239" s="1" t="str">
        <x:v>PO0238</x:v>
      </x:c>
      <x:c r="B239" s="1" t="str">
        <x:v>SUP09</x:v>
      </x:c>
      <x:c r="C239" s="1" t="str">
        <x:v>Chile</x:v>
      </x:c>
      <x:c r="D239" s="1" t="str">
        <x:v>Maintenance services</x:v>
      </x:c>
      <x:c r="E239" s="1" t="str">
        <x:v>Buyer 2</x:v>
      </x:c>
      <x:c r="F239" s="5" t="n">
        <x:v>46266</x:v>
      </x:c>
      <x:c r="G239" s="5" t="n">
        <x:v>46271</x:v>
      </x:c>
      <x:c r="H239" s="5" t="n">
        <x:v>46272</x:v>
      </x:c>
      <x:c r="I239" s="5" t="n">
        <x:v>46287</x:v>
      </x:c>
      <x:c r="J239" s="1" t="n">
        <x:v>3568</x:v>
      </x:c>
      <x:c r="K239" s="6" t="n">
        <x:v>23.29</x:v>
      </x:c>
      <x:c r="L239" s="10" t="n">
        <x:f>J239*K239</x:f>
        <x:v>83098.72</x:v>
      </x:c>
      <x:c r="M239" t="n">
        <x:f>G239-F239</x:f>
        <x:v>5</x:v>
      </x:c>
      <x:c r="N239" t="n">
        <x:f>H239-F239</x:f>
        <x:v>6</x:v>
      </x:c>
    </x:row>
    <x:row r="240">
      <x:c r="A240" s="1" t="str">
        <x:v>PO0239</x:v>
      </x:c>
      <x:c r="B240" s="1" t="str">
        <x:v>SUP14</x:v>
      </x:c>
      <x:c r="C240" s="1" t="str">
        <x:v>Panama</x:v>
      </x:c>
      <x:c r="D240" s="1" t="str">
        <x:v>Ingredients</x:v>
      </x:c>
      <x:c r="E240" s="1" t="str">
        <x:v>Buyer 3</x:v>
      </x:c>
      <x:c r="F240" s="5" t="n">
        <x:v>46179</x:v>
      </x:c>
      <x:c r="G240" s="5" t="n">
        <x:v>46180</x:v>
      </x:c>
      <x:c r="H240" s="5" t="n">
        <x:v>46182</x:v>
      </x:c>
      <x:c r="I240" s="5" t="n">
        <x:v>46207</x:v>
      </x:c>
      <x:c r="J240" s="1" t="n">
        <x:v>1860</x:v>
      </x:c>
      <x:c r="K240" s="6" t="n">
        <x:v>21.24</x:v>
      </x:c>
      <x:c r="L240" s="10" t="n">
        <x:f>J240*K240</x:f>
        <x:v>39506.399999999994</x:v>
      </x:c>
      <x:c r="M240" t="n">
        <x:f>G240-F240</x:f>
        <x:v>1</x:v>
      </x:c>
      <x:c r="N240" t="n">
        <x:f>H240-F240</x:f>
        <x:v>3</x:v>
      </x:c>
    </x:row>
    <x:row r="241">
      <x:c r="A241" s="1" t="str">
        <x:v>PO0240</x:v>
      </x:c>
      <x:c r="B241" s="1" t="str">
        <x:v>SUP11</x:v>
      </x:c>
      <x:c r="C241" s="1" t="str">
        <x:v>Mexico</x:v>
      </x:c>
      <x:c r="D241" s="1" t="str">
        <x:v>Ingredients</x:v>
      </x:c>
      <x:c r="E241" s="1" t="str">
        <x:v>Buyer 4</x:v>
      </x:c>
      <x:c r="F241" s="5" t="n">
        <x:v>46060</x:v>
      </x:c>
      <x:c r="G241" s="5" t="n">
        <x:v>46062</x:v>
      </x:c>
      <x:c r="H241" s="5" t="n">
        <x:v>46063</x:v>
      </x:c>
      <x:c r="I241" s="5" t="n">
        <x:v>46085</x:v>
      </x:c>
      <x:c r="J241" s="1" t="n">
        <x:v>243</x:v>
      </x:c>
      <x:c r="K241" s="6" t="n">
        <x:v>16.61</x:v>
      </x:c>
      <x:c r="L241" s="10" t="n">
        <x:f>J241*K241</x:f>
        <x:v>4036.23</x:v>
      </x:c>
      <x:c r="M241" t="n">
        <x:f>G241-F241</x:f>
        <x:v>2</x:v>
      </x:c>
      <x:c r="N241" t="n">
        <x:f>H241-F241</x:f>
        <x:v>3</x:v>
      </x:c>
    </x:row>
    <x:row r="242">
      <x:c r="A242" s="1" t="str">
        <x:v>PO0241</x:v>
      </x:c>
      <x:c r="B242" s="1" t="str">
        <x:v>SUP05</x:v>
      </x:c>
      <x:c r="C242" s="1" t="str">
        <x:v>Colombia</x:v>
      </x:c>
      <x:c r="D242" s="1" t="str">
        <x:v>Ingredients</x:v>
      </x:c>
      <x:c r="E242" s="1" t="str">
        <x:v>Buyer 1</x:v>
      </x:c>
      <x:c r="F242" s="5" t="n">
        <x:v>46217</x:v>
      </x:c>
      <x:c r="G242" s="5" t="n">
        <x:v>46220</x:v>
      </x:c>
      <x:c r="H242" s="5" t="n">
        <x:v>46220</x:v>
      </x:c>
      <x:c r="I242" s="5" t="n">
        <x:v>46239</x:v>
      </x:c>
      <x:c r="J242" s="1" t="n">
        <x:v>4799</x:v>
      </x:c>
      <x:c r="K242" s="6" t="n">
        <x:v>16.31</x:v>
      </x:c>
      <x:c r="L242" s="10" t="n">
        <x:f>J242*K242</x:f>
        <x:v>78271.68999999999</x:v>
      </x:c>
      <x:c r="M242" t="n">
        <x:f>G242-F242</x:f>
        <x:v>3</x:v>
      </x:c>
      <x:c r="N242" t="n">
        <x:f>H242-F242</x:f>
        <x:v>3</x:v>
      </x:c>
    </x:row>
    <x:row r="243">
      <x:c r="A243" s="1" t="str">
        <x:v>PO0242</x:v>
      </x:c>
      <x:c r="B243" s="1" t="str">
        <x:v>SUP11</x:v>
      </x:c>
      <x:c r="C243" s="1" t="str">
        <x:v>Costa Rica</x:v>
      </x:c>
      <x:c r="D243" s="1" t="str">
        <x:v>Ingredients</x:v>
      </x:c>
      <x:c r="E243" s="1" t="str">
        <x:v>Buyer 2</x:v>
      </x:c>
      <x:c r="F243" s="5" t="n">
        <x:v>46189</x:v>
      </x:c>
      <x:c r="G243" s="5" t="n">
        <x:v>46190</x:v>
      </x:c>
      <x:c r="H243" s="5" t="n">
        <x:v>46192</x:v>
      </x:c>
      <x:c r="I243" s="5" t="n">
        <x:v>46210</x:v>
      </x:c>
      <x:c r="J243" s="1" t="n">
        <x:v>4158</x:v>
      </x:c>
      <x:c r="K243" s="6" t="n">
        <x:v>8.29</x:v>
      </x:c>
      <x:c r="L243" s="10" t="n">
        <x:f>J243*K243</x:f>
        <x:v>34469.82</x:v>
      </x:c>
      <x:c r="M243" t="n">
        <x:f>G243-F243</x:f>
        <x:v>1</x:v>
      </x:c>
      <x:c r="N243" t="n">
        <x:f>H243-F243</x:f>
        <x:v>3</x:v>
      </x:c>
    </x:row>
    <x:row r="244">
      <x:c r="A244" s="1" t="str">
        <x:v>PO0243</x:v>
      </x:c>
      <x:c r="B244" s="1" t="str">
        <x:v>SUP14</x:v>
      </x:c>
      <x:c r="C244" s="1" t="str">
        <x:v>Guatemala</x:v>
      </x:c>
      <x:c r="D244" s="1" t="str">
        <x:v>Ingredients</x:v>
      </x:c>
      <x:c r="E244" s="1" t="str">
        <x:v>Buyer 3</x:v>
      </x:c>
      <x:c r="F244" s="5" t="n">
        <x:v>46071</x:v>
      </x:c>
      <x:c r="G244" s="5" t="n">
        <x:v>46072</x:v>
      </x:c>
      <x:c r="H244" s="5" t="n">
        <x:v>46074</x:v>
      </x:c>
      <x:c r="I244" s="5" t="n">
        <x:v>46081</x:v>
      </x:c>
      <x:c r="J244" s="1" t="n">
        <x:v>3805</x:v>
      </x:c>
      <x:c r="K244" s="6" t="n">
        <x:v>19.13</x:v>
      </x:c>
      <x:c r="L244" s="10" t="n">
        <x:f>J244*K244</x:f>
        <x:v>72789.65</x:v>
      </x:c>
      <x:c r="M244" t="n">
        <x:f>G244-F244</x:f>
        <x:v>1</x:v>
      </x:c>
      <x:c r="N244" t="n">
        <x:f>H244-F244</x:f>
        <x:v>3</x:v>
      </x:c>
    </x:row>
    <x:row r="245">
      <x:c r="A245" s="1" t="str">
        <x:v>PO0244</x:v>
      </x:c>
      <x:c r="B245" s="1" t="str">
        <x:v>SUP12</x:v>
      </x:c>
      <x:c r="C245" s="1" t="str">
        <x:v>Peru</x:v>
      </x:c>
      <x:c r="D245" s="1" t="str">
        <x:v>Maintenance services</x:v>
      </x:c>
      <x:c r="E245" s="1" t="str">
        <x:v>Buyer 4</x:v>
      </x:c>
      <x:c r="F245" s="5" t="n">
        <x:v>46234</x:v>
      </x:c>
      <x:c r="G245" s="5" t="n">
        <x:v>46235</x:v>
      </x:c>
      <x:c r="H245" s="5" t="n">
        <x:v>46236</x:v>
      </x:c>
      <x:c r="I245" s="5" t="n">
        <x:v>46257</x:v>
      </x:c>
      <x:c r="J245" s="1" t="n">
        <x:v>1814</x:v>
      </x:c>
      <x:c r="K245" s="6" t="n">
        <x:v>8</x:v>
      </x:c>
      <x:c r="L245" s="10" t="n">
        <x:f>J245*K245</x:f>
        <x:v>14512</x:v>
      </x:c>
      <x:c r="M245" t="n">
        <x:f>G245-F245</x:f>
        <x:v>1</x:v>
      </x:c>
      <x:c r="N245" t="n">
        <x:f>H245-F245</x:f>
        <x:v>2</x:v>
      </x:c>
    </x:row>
    <x:row r="246">
      <x:c r="A246" s="1" t="str">
        <x:v>PO0245</x:v>
      </x:c>
      <x:c r="B246" s="1" t="str">
        <x:v>SUP11</x:v>
      </x:c>
      <x:c r="C246" s="1" t="str">
        <x:v>Chile</x:v>
      </x:c>
      <x:c r="D246" s="1" t="str">
        <x:v>Ingredients</x:v>
      </x:c>
      <x:c r="E246" s="1" t="str">
        <x:v>Buyer 1</x:v>
      </x:c>
      <x:c r="F246" s="5" t="n">
        <x:v>46059</x:v>
      </x:c>
      <x:c r="G246" s="5" t="n">
        <x:v>46064</x:v>
      </x:c>
      <x:c r="H246" s="5" t="n">
        <x:v>46065</x:v>
      </x:c>
      <x:c r="I246" s="5" t="n">
        <x:v>46072</x:v>
      </x:c>
      <x:c r="J246" s="1" t="n">
        <x:v>3838</x:v>
      </x:c>
      <x:c r="K246" s="6" t="n">
        <x:v>14.81</x:v>
      </x:c>
      <x:c r="L246" s="10" t="n">
        <x:f>J246*K246</x:f>
        <x:v>56840.78</x:v>
      </x:c>
      <x:c r="M246" t="n">
        <x:f>G246-F246</x:f>
        <x:v>5</x:v>
      </x:c>
      <x:c r="N246" t="n">
        <x:f>H246-F246</x:f>
        <x:v>6</x:v>
      </x:c>
    </x:row>
    <x:row r="247">
      <x:c r="A247" s="1" t="str">
        <x:v>PO0246</x:v>
      </x:c>
      <x:c r="B247" s="1" t="str">
        <x:v>SUP06</x:v>
      </x:c>
      <x:c r="C247" s="1" t="str">
        <x:v>Panama</x:v>
      </x:c>
      <x:c r="D247" s="1" t="str">
        <x:v>Maintenance services</x:v>
      </x:c>
      <x:c r="E247" s="1" t="str">
        <x:v>Buyer 2</x:v>
      </x:c>
      <x:c r="F247" s="5" t="n">
        <x:v>46134</x:v>
      </x:c>
      <x:c r="G247" s="5" t="n">
        <x:v>46136</x:v>
      </x:c>
      <x:c r="H247" s="5" t="n">
        <x:v>46136</x:v>
      </x:c>
      <x:c r="I247" s="5" t="n">
        <x:v>46161</x:v>
      </x:c>
      <x:c r="J247" s="1" t="n">
        <x:v>4975</x:v>
      </x:c>
      <x:c r="K247" s="6" t="n">
        <x:v>18.98</x:v>
      </x:c>
      <x:c r="L247" s="10" t="n">
        <x:f>J247*K247</x:f>
        <x:v>94425.5</x:v>
      </x:c>
      <x:c r="M247" t="n">
        <x:f>G247-F247</x:f>
        <x:v>2</x:v>
      </x:c>
      <x:c r="N247" t="n">
        <x:f>H247-F247</x:f>
        <x:v>2</x:v>
      </x:c>
    </x:row>
    <x:row r="248">
      <x:c r="A248" s="1" t="str">
        <x:v>PO0247</x:v>
      </x:c>
      <x:c r="B248" s="1" t="str">
        <x:v>SUP04</x:v>
      </x:c>
      <x:c r="C248" s="1" t="str">
        <x:v>Mexico</x:v>
      </x:c>
      <x:c r="D248" s="1" t="str">
        <x:v>Packaging</x:v>
      </x:c>
      <x:c r="E248" s="1" t="str">
        <x:v>Buyer 3</x:v>
      </x:c>
      <x:c r="F248" s="5" t="n">
        <x:v>46050</x:v>
      </x:c>
      <x:c r="G248" s="5" t="n">
        <x:v>46055</x:v>
      </x:c>
      <x:c r="H248" s="5" t="n">
        <x:v>46055</x:v>
      </x:c>
      <x:c r="I248" s="5" t="n">
        <x:v>46074</x:v>
      </x:c>
      <x:c r="J248" s="1" t="n">
        <x:v>3624</x:v>
      </x:c>
      <x:c r="K248" s="6" t="n">
        <x:v>4.32</x:v>
      </x:c>
      <x:c r="L248" s="10" t="n">
        <x:f>J248*K248</x:f>
        <x:v>15655.68</x:v>
      </x:c>
      <x:c r="M248" t="n">
        <x:f>G248-F248</x:f>
        <x:v>5</x:v>
      </x:c>
      <x:c r="N248" t="n">
        <x:f>H248-F248</x:f>
        <x:v>5</x:v>
      </x:c>
    </x:row>
    <x:row r="249">
      <x:c r="A249" s="1" t="str">
        <x:v>PO0248</x:v>
      </x:c>
      <x:c r="B249" s="1" t="str">
        <x:v>SUP05</x:v>
      </x:c>
      <x:c r="C249" s="1" t="str">
        <x:v>Colombia</x:v>
      </x:c>
      <x:c r="D249" s="1" t="str">
        <x:v>Ingredients</x:v>
      </x:c>
      <x:c r="E249" s="1" t="str">
        <x:v>Buyer 4</x:v>
      </x:c>
      <x:c r="F249" s="5" t="n">
        <x:v>46096</x:v>
      </x:c>
      <x:c r="G249" s="5" t="n">
        <x:v>46100</x:v>
      </x:c>
      <x:c r="H249" s="5" t="n">
        <x:v>46100</x:v>
      </x:c>
      <x:c r="I249" s="5" t="n">
        <x:v>46114</x:v>
      </x:c>
      <x:c r="J249" s="1" t="n">
        <x:v>3781</x:v>
      </x:c>
      <x:c r="K249" s="6" t="n">
        <x:v>2.36</x:v>
      </x:c>
      <x:c r="L249" s="10" t="n">
        <x:f>J249*K249</x:f>
        <x:v>8923.16</x:v>
      </x:c>
      <x:c r="M249" t="n">
        <x:f>G249-F249</x:f>
        <x:v>4</x:v>
      </x:c>
      <x:c r="N249" t="n">
        <x:f>H249-F249</x:f>
        <x:v>4</x:v>
      </x:c>
    </x:row>
    <x:row r="250">
      <x:c r="A250" s="1" t="str">
        <x:v>PO0249</x:v>
      </x:c>
      <x:c r="B250" s="1" t="str">
        <x:v>SUP01</x:v>
      </x:c>
      <x:c r="C250" s="1" t="str">
        <x:v>Costa Rica</x:v>
      </x:c>
      <x:c r="D250" s="1" t="str">
        <x:v>Packaging</x:v>
      </x:c>
      <x:c r="E250" s="1" t="str">
        <x:v>Buyer 1</x:v>
      </x:c>
      <x:c r="F250" s="5" t="n">
        <x:v>46059</x:v>
      </x:c>
      <x:c r="G250" s="5" t="n">
        <x:v>46064</x:v>
      </x:c>
      <x:c r="H250" s="5" t="n">
        <x:v>46066</x:v>
      </x:c>
      <x:c r="I250" s="5" t="n">
        <x:v>46077</x:v>
      </x:c>
      <x:c r="J250" s="1" t="n">
        <x:v>3065</x:v>
      </x:c>
      <x:c r="K250" s="6" t="n">
        <x:v>12.72</x:v>
      </x:c>
      <x:c r="L250" s="10" t="n">
        <x:f>J250*K250</x:f>
        <x:v>38986.8</x:v>
      </x:c>
      <x:c r="M250" t="n">
        <x:f>G250-F250</x:f>
        <x:v>5</x:v>
      </x:c>
      <x:c r="N250" t="n">
        <x:f>H250-F250</x:f>
        <x:v>7</x:v>
      </x:c>
    </x:row>
    <x:row r="251">
      <x:c r="A251" s="1" t="str">
        <x:v>PO0250</x:v>
      </x:c>
      <x:c r="B251" s="1" t="str">
        <x:v>SUP04</x:v>
      </x:c>
      <x:c r="C251" s="1" t="str">
        <x:v>Guatemala</x:v>
      </x:c>
      <x:c r="D251" s="1" t="str">
        <x:v>Packaging</x:v>
      </x:c>
      <x:c r="E251" s="1" t="str">
        <x:v>Buyer 2</x:v>
      </x:c>
      <x:c r="F251" s="5" t="n">
        <x:v>46225</x:v>
      </x:c>
      <x:c r="G251" s="5" t="n">
        <x:v>46229</x:v>
      </x:c>
      <x:c r="H251" s="5" t="n">
        <x:v>46231</x:v>
      </x:c>
      <x:c r="I251" s="5" t="n">
        <x:v>46255</x:v>
      </x:c>
      <x:c r="J251" s="1" t="n">
        <x:v>915</x:v>
      </x:c>
      <x:c r="K251" s="6" t="n">
        <x:v>8.15</x:v>
      </x:c>
      <x:c r="L251" s="10" t="n">
        <x:f>J251*K251</x:f>
        <x:v>7457.25</x:v>
      </x:c>
      <x:c r="M251" t="n">
        <x:f>G251-F251</x:f>
        <x:v>4</x:v>
      </x:c>
      <x:c r="N251" t="n">
        <x:f>H251-F251</x:f>
        <x:v>6</x:v>
      </x:c>
    </x:row>
    <x:row r="252">
      <x:c r="A252" s="1" t="str">
        <x:v>PO0251</x:v>
      </x:c>
      <x:c r="B252" s="1" t="str">
        <x:v>SUP02</x:v>
      </x:c>
      <x:c r="C252" s="1" t="str">
        <x:v>Peru</x:v>
      </x:c>
      <x:c r="D252" s="1" t="str">
        <x:v>Ingredients</x:v>
      </x:c>
      <x:c r="E252" s="1" t="str">
        <x:v>Buyer 3</x:v>
      </x:c>
      <x:c r="F252" s="5" t="n">
        <x:v>46073</x:v>
      </x:c>
      <x:c r="G252" s="5" t="n">
        <x:v>46075</x:v>
      </x:c>
      <x:c r="H252" s="5" t="n">
        <x:v>46076</x:v>
      </x:c>
      <x:c r="I252" s="5" t="n">
        <x:v>46101</x:v>
      </x:c>
      <x:c r="J252" s="1" t="n">
        <x:v>4469</x:v>
      </x:c>
      <x:c r="K252" s="6" t="n">
        <x:v>16.62</x:v>
      </x:c>
      <x:c r="L252" s="10" t="n">
        <x:f>J252*K252</x:f>
        <x:v>74274.78</x:v>
      </x:c>
      <x:c r="M252" t="n">
        <x:f>G252-F252</x:f>
        <x:v>2</x:v>
      </x:c>
      <x:c r="N252" t="n">
        <x:f>H252-F252</x:f>
        <x:v>3</x:v>
      </x:c>
    </x:row>
    <x:row r="253">
      <x:c r="A253" s="1" t="str">
        <x:v>PO0252</x:v>
      </x:c>
      <x:c r="B253" s="1" t="str">
        <x:v>SUP02</x:v>
      </x:c>
      <x:c r="C253" s="1" t="str">
        <x:v>Chile</x:v>
      </x:c>
      <x:c r="D253" s="1" t="str">
        <x:v>Ingredients</x:v>
      </x:c>
      <x:c r="E253" s="1" t="str">
        <x:v>Buyer 4</x:v>
      </x:c>
      <x:c r="F253" s="5" t="n">
        <x:v>46080</x:v>
      </x:c>
      <x:c r="G253" s="5" t="n">
        <x:v>46085</x:v>
      </x:c>
      <x:c r="H253" s="5" t="n">
        <x:v>46085</x:v>
      </x:c>
      <x:c r="I253" s="5" t="n">
        <x:v>46092</x:v>
      </x:c>
      <x:c r="J253" s="1" t="n">
        <x:v>1650</x:v>
      </x:c>
      <x:c r="K253" s="6" t="n">
        <x:v>19.84</x:v>
      </x:c>
      <x:c r="L253" s="10" t="n">
        <x:f>J253*K253</x:f>
        <x:v>32736</x:v>
      </x:c>
      <x:c r="M253" t="n">
        <x:f>G253-F253</x:f>
        <x:v>5</x:v>
      </x:c>
      <x:c r="N253" t="n">
        <x:f>H253-F253</x:f>
        <x:v>5</x:v>
      </x:c>
    </x:row>
    <x:row r="254">
      <x:c r="A254" s="1" t="str">
        <x:v>PO0253</x:v>
      </x:c>
      <x:c r="B254" s="1" t="str">
        <x:v>SUP13</x:v>
      </x:c>
      <x:c r="C254" s="1" t="str">
        <x:v>Panama</x:v>
      </x:c>
      <x:c r="D254" s="1" t="str">
        <x:v>Packaging</x:v>
      </x:c>
      <x:c r="E254" s="1" t="str">
        <x:v>Buyer 1</x:v>
      </x:c>
      <x:c r="F254" s="5" t="n">
        <x:v>46039</x:v>
      </x:c>
      <x:c r="G254" s="5" t="n">
        <x:v>46042</x:v>
      </x:c>
      <x:c r="H254" s="5" t="n">
        <x:v>46042</x:v>
      </x:c>
      <x:c r="I254" s="5" t="n">
        <x:v>46050</x:v>
      </x:c>
      <x:c r="J254" s="1" t="n">
        <x:v>3595</x:v>
      </x:c>
      <x:c r="K254" s="6" t="n">
        <x:v>20.08</x:v>
      </x:c>
      <x:c r="L254" s="10" t="n">
        <x:f>J254*K254</x:f>
        <x:v>72187.59999999999</x:v>
      </x:c>
      <x:c r="M254" t="n">
        <x:f>G254-F254</x:f>
        <x:v>3</x:v>
      </x:c>
      <x:c r="N254" t="n">
        <x:f>H254-F254</x:f>
        <x:v>3</x:v>
      </x:c>
    </x:row>
    <x:row r="255">
      <x:c r="A255" s="1" t="str">
        <x:v>PO0254</x:v>
      </x:c>
      <x:c r="B255" s="1" t="str">
        <x:v>SUP03</x:v>
      </x:c>
      <x:c r="C255" s="1" t="str">
        <x:v>Mexico</x:v>
      </x:c>
      <x:c r="D255" s="1" t="str">
        <x:v>Maintenance services</x:v>
      </x:c>
      <x:c r="E255" s="1" t="str">
        <x:v>Buyer 2</x:v>
      </x:c>
      <x:c r="F255" s="5" t="n">
        <x:v>46197</x:v>
      </x:c>
      <x:c r="G255" s="5" t="n">
        <x:v>46200</x:v>
      </x:c>
      <x:c r="H255" s="5" t="n">
        <x:v>46201</x:v>
      </x:c>
      <x:c r="I255" s="5" t="n">
        <x:v>46214</x:v>
      </x:c>
      <x:c r="J255" s="1" t="n">
        <x:v>3766</x:v>
      </x:c>
      <x:c r="K255" s="6" t="n">
        <x:v>24.59</x:v>
      </x:c>
      <x:c r="L255" s="10" t="n">
        <x:f>J255*K255</x:f>
        <x:v>92605.94</x:v>
      </x:c>
      <x:c r="M255" t="n">
        <x:f>G255-F255</x:f>
        <x:v>3</x:v>
      </x:c>
      <x:c r="N255" t="n">
        <x:f>H255-F255</x:f>
        <x:v>4</x:v>
      </x:c>
    </x:row>
    <x:row r="256">
      <x:c r="A256" s="1" t="str">
        <x:v>PO0255</x:v>
      </x:c>
      <x:c r="B256" s="1" t="str">
        <x:v>SUP08</x:v>
      </x:c>
      <x:c r="C256" s="1" t="str">
        <x:v>Colombia</x:v>
      </x:c>
      <x:c r="D256" s="1" t="str">
        <x:v>Ingredients</x:v>
      </x:c>
      <x:c r="E256" s="1" t="str">
        <x:v>Buyer 3</x:v>
      </x:c>
      <x:c r="F256" s="5" t="n">
        <x:v>46138</x:v>
      </x:c>
      <x:c r="G256" s="5" t="n">
        <x:v>46142</x:v>
      </x:c>
      <x:c r="H256" s="5" t="n">
        <x:v>46144</x:v>
      </x:c>
      <x:c r="I256" s="5" t="n">
        <x:v>46155</x:v>
      </x:c>
      <x:c r="J256" s="1" t="n">
        <x:v>1983</x:v>
      </x:c>
      <x:c r="K256" s="6" t="n">
        <x:v>18.34</x:v>
      </x:c>
      <x:c r="L256" s="10" t="n">
        <x:f>J256*K256</x:f>
        <x:v>36368.22</x:v>
      </x:c>
      <x:c r="M256" t="n">
        <x:f>G256-F256</x:f>
        <x:v>4</x:v>
      </x:c>
      <x:c r="N256" t="n">
        <x:f>H256-F256</x:f>
        <x:v>6</x:v>
      </x:c>
    </x:row>
    <x:row r="257">
      <x:c r="A257" s="1" t="str">
        <x:v>PO0256</x:v>
      </x:c>
      <x:c r="B257" s="1" t="str">
        <x:v>SUP04</x:v>
      </x:c>
      <x:c r="C257" s="1" t="str">
        <x:v>Costa Rica</x:v>
      </x:c>
      <x:c r="D257" s="1" t="str">
        <x:v>Packaging</x:v>
      </x:c>
      <x:c r="E257" s="1" t="str">
        <x:v>Buyer 4</x:v>
      </x:c>
      <x:c r="F257" s="5" t="n">
        <x:v>46252</x:v>
      </x:c>
      <x:c r="G257" s="5" t="n">
        <x:v>46253</x:v>
      </x:c>
      <x:c r="H257" s="5" t="n">
        <x:v>46253</x:v>
      </x:c>
      <x:c r="I257" s="5" t="n">
        <x:v>46263</x:v>
      </x:c>
      <x:c r="J257" s="1" t="n">
        <x:v>4599</x:v>
      </x:c>
      <x:c r="K257" s="6" t="n">
        <x:v>6.71</x:v>
      </x:c>
      <x:c r="L257" s="10" t="n">
        <x:f>J257*K257</x:f>
        <x:v>30859.29</x:v>
      </x:c>
      <x:c r="M257" t="n">
        <x:f>G257-F257</x:f>
        <x:v>1</x:v>
      </x:c>
      <x:c r="N257" t="n">
        <x:f>H257-F257</x:f>
        <x:v>1</x:v>
      </x:c>
    </x:row>
    <x:row r="258">
      <x:c r="A258" s="1" t="str">
        <x:v>PO0257</x:v>
      </x:c>
      <x:c r="B258" s="1" t="str">
        <x:v>SUP12</x:v>
      </x:c>
      <x:c r="C258" s="1" t="str">
        <x:v>Guatemala</x:v>
      </x:c>
      <x:c r="D258" s="1" t="str">
        <x:v>Maintenance services</x:v>
      </x:c>
      <x:c r="E258" s="1" t="str">
        <x:v>Buyer 1</x:v>
      </x:c>
      <x:c r="F258" s="5" t="n">
        <x:v>46216</x:v>
      </x:c>
      <x:c r="G258" s="5" t="n">
        <x:v>46220</x:v>
      </x:c>
      <x:c r="H258" s="5" t="n">
        <x:v>46220</x:v>
      </x:c>
      <x:c r="I258" s="5" t="n">
        <x:v>46229</x:v>
      </x:c>
      <x:c r="J258" s="1" t="n">
        <x:v>3441</x:v>
      </x:c>
      <x:c r="K258" s="6" t="n">
        <x:v>18.34</x:v>
      </x:c>
      <x:c r="L258" s="10" t="n">
        <x:f>J258*K258</x:f>
        <x:v>63107.94</x:v>
      </x:c>
      <x:c r="M258" t="n">
        <x:f>G258-F258</x:f>
        <x:v>4</x:v>
      </x:c>
      <x:c r="N258" t="n">
        <x:f>H258-F258</x:f>
        <x:v>4</x:v>
      </x:c>
    </x:row>
    <x:row r="259">
      <x:c r="A259" s="1" t="str">
        <x:v>PO0258</x:v>
      </x:c>
      <x:c r="B259" s="1" t="str">
        <x:v>SUP02</x:v>
      </x:c>
      <x:c r="C259" s="1" t="str">
        <x:v>Peru</x:v>
      </x:c>
      <x:c r="D259" s="1" t="str">
        <x:v>Ingredients</x:v>
      </x:c>
      <x:c r="E259" s="1" t="str">
        <x:v>Buyer 2</x:v>
      </x:c>
      <x:c r="F259" s="5" t="n">
        <x:v>46173</x:v>
      </x:c>
      <x:c r="G259" s="5" t="n">
        <x:v>46174</x:v>
      </x:c>
      <x:c r="H259" s="5" t="n">
        <x:v>46175</x:v>
      </x:c>
      <x:c r="I259" s="5" t="n">
        <x:v>46196</x:v>
      </x:c>
      <x:c r="J259" s="1" t="n">
        <x:v>3251</x:v>
      </x:c>
      <x:c r="K259" s="6" t="n">
        <x:v>19.6</x:v>
      </x:c>
      <x:c r="L259" s="10" t="n">
        <x:f>J259*K259</x:f>
        <x:v>63719.600000000006</x:v>
      </x:c>
      <x:c r="M259" t="n">
        <x:f>G259-F259</x:f>
        <x:v>1</x:v>
      </x:c>
      <x:c r="N259" t="n">
        <x:f>H259-F259</x:f>
        <x:v>2</x:v>
      </x:c>
    </x:row>
    <x:row r="260">
      <x:c r="A260" s="1" t="str">
        <x:v>PO0259</x:v>
      </x:c>
      <x:c r="B260" s="1" t="str">
        <x:v>SUP03</x:v>
      </x:c>
      <x:c r="C260" s="1" t="str">
        <x:v>Chile</x:v>
      </x:c>
      <x:c r="D260" s="1" t="str">
        <x:v>Maintenance services</x:v>
      </x:c>
      <x:c r="E260" s="1" t="str">
        <x:v>Buyer 3</x:v>
      </x:c>
      <x:c r="F260" s="5" t="n">
        <x:v>46146</x:v>
      </x:c>
      <x:c r="G260" s="5" t="n">
        <x:v>46153</x:v>
      </x:c>
      <x:c r="H260" s="5" t="n">
        <x:v>46153</x:v>
      </x:c>
      <x:c r="I260" s="5" t="n">
        <x:v>46175</x:v>
      </x:c>
      <x:c r="J260" s="1" t="n">
        <x:v>4470</x:v>
      </x:c>
      <x:c r="K260" s="6" t="n">
        <x:v>3.67</x:v>
      </x:c>
      <x:c r="L260" s="10" t="n">
        <x:f>J260*K260</x:f>
        <x:v>16404.9</x:v>
      </x:c>
      <x:c r="M260" t="n">
        <x:f>G260-F260</x:f>
        <x:v>7</x:v>
      </x:c>
      <x:c r="N260" t="n">
        <x:f>H260-F260</x:f>
        <x:v>7</x:v>
      </x:c>
    </x:row>
    <x:row r="261">
      <x:c r="A261" s="1" t="str">
        <x:v>PO0260</x:v>
      </x:c>
      <x:c r="B261" s="1" t="str">
        <x:v>SUP10</x:v>
      </x:c>
      <x:c r="C261" s="1" t="str">
        <x:v>Panama</x:v>
      </x:c>
      <x:c r="D261" s="1" t="str">
        <x:v>Packaging</x:v>
      </x:c>
      <x:c r="E261" s="1" t="str">
        <x:v>Buyer 4</x:v>
      </x:c>
      <x:c r="F261" s="5" t="n">
        <x:v>46210</x:v>
      </x:c>
      <x:c r="G261" s="5" t="n">
        <x:v>46211</x:v>
      </x:c>
      <x:c r="H261" s="5" t="n">
        <x:v>46211</x:v>
      </x:c>
      <x:c r="I261" s="5" t="n">
        <x:v>46229</x:v>
      </x:c>
      <x:c r="J261" s="1" t="n">
        <x:v>456</x:v>
      </x:c>
      <x:c r="K261" s="6" t="n">
        <x:v>19.74</x:v>
      </x:c>
      <x:c r="L261" s="10" t="n">
        <x:f>J261*K261</x:f>
        <x:v>9001.439999999999</x:v>
      </x:c>
      <x:c r="M261" t="n">
        <x:f>G261-F261</x:f>
        <x:v>1</x:v>
      </x:c>
      <x:c r="N261" t="n">
        <x:f>H261-F261</x:f>
        <x:v>1</x:v>
      </x:c>
    </x:row>
    <x:row r="262">
      <x:c r="A262" s="1" t="str">
        <x:v>PO0261</x:v>
      </x:c>
      <x:c r="B262" s="1" t="str">
        <x:v>SUP11</x:v>
      </x:c>
      <x:c r="C262" s="1" t="str">
        <x:v>Mexico</x:v>
      </x:c>
      <x:c r="D262" s="1" t="str">
        <x:v>Ingredients</x:v>
      </x:c>
      <x:c r="E262" s="1" t="str">
        <x:v>Buyer 1</x:v>
      </x:c>
      <x:c r="F262" s="5" t="n">
        <x:v>46260</x:v>
      </x:c>
      <x:c r="G262" s="5" t="n">
        <x:v>46263</x:v>
      </x:c>
      <x:c r="H262" s="5" t="n">
        <x:v>46264</x:v>
      </x:c>
      <x:c r="I262" s="5" t="n">
        <x:v>46275</x:v>
      </x:c>
      <x:c r="J262" s="1" t="n">
        <x:v>460</x:v>
      </x:c>
      <x:c r="K262" s="6" t="n">
        <x:v>16.89</x:v>
      </x:c>
      <x:c r="L262" s="10" t="n">
        <x:f>J262*K262</x:f>
        <x:v>7769.400000000001</x:v>
      </x:c>
      <x:c r="M262" t="n">
        <x:f>G262-F262</x:f>
        <x:v>3</x:v>
      </x:c>
      <x:c r="N262" t="n">
        <x:f>H262-F262</x:f>
        <x:v>4</x:v>
      </x:c>
    </x:row>
    <x:row r="263">
      <x:c r="A263" s="1" t="str">
        <x:v>PO0262</x:v>
      </x:c>
      <x:c r="B263" s="1" t="str">
        <x:v>SUP01</x:v>
      </x:c>
      <x:c r="C263" s="1" t="str">
        <x:v>Colombia</x:v>
      </x:c>
      <x:c r="D263" s="1" t="str">
        <x:v>Packaging</x:v>
      </x:c>
      <x:c r="E263" s="1" t="str">
        <x:v>Buyer 2</x:v>
      </x:c>
      <x:c r="F263" s="5" t="n">
        <x:v>46117</x:v>
      </x:c>
      <x:c r="G263" s="5" t="n">
        <x:v>46120</x:v>
      </x:c>
      <x:c r="H263" s="5" t="n">
        <x:v>46122</x:v>
      </x:c>
      <x:c r="I263" s="5" t="n">
        <x:v>46134</x:v>
      </x:c>
      <x:c r="J263" s="1" t="n">
        <x:v>2993</x:v>
      </x:c>
      <x:c r="K263" s="6" t="n">
        <x:v>23.9</x:v>
      </x:c>
      <x:c r="L263" s="10" t="n">
        <x:f>J263*K263</x:f>
        <x:v>71532.7</x:v>
      </x:c>
      <x:c r="M263" t="n">
        <x:f>G263-F263</x:f>
        <x:v>3</x:v>
      </x:c>
      <x:c r="N263" t="n">
        <x:f>H263-F263</x:f>
        <x:v>5</x:v>
      </x:c>
    </x:row>
    <x:row r="264">
      <x:c r="A264" s="1" t="str">
        <x:v>PO0263</x:v>
      </x:c>
      <x:c r="B264" s="1" t="str">
        <x:v>SUP05</x:v>
      </x:c>
      <x:c r="C264" s="1" t="str">
        <x:v>Costa Rica</x:v>
      </x:c>
      <x:c r="D264" s="1" t="str">
        <x:v>Ingredients</x:v>
      </x:c>
      <x:c r="E264" s="1" t="str">
        <x:v>Buyer 3</x:v>
      </x:c>
      <x:c r="F264" s="5" t="n">
        <x:v>46098</x:v>
      </x:c>
      <x:c r="G264" s="5" t="n">
        <x:v>46099</x:v>
      </x:c>
      <x:c r="H264" s="5" t="n">
        <x:v>46101</x:v>
      </x:c>
      <x:c r="I264" s="5" t="n">
        <x:v>46111</x:v>
      </x:c>
      <x:c r="J264" s="1" t="n">
        <x:v>4362</x:v>
      </x:c>
      <x:c r="K264" s="6" t="n">
        <x:v>19.59</x:v>
      </x:c>
      <x:c r="L264" s="10" t="n">
        <x:f>J264*K264</x:f>
        <x:v>85451.58</x:v>
      </x:c>
      <x:c r="M264" t="n">
        <x:f>G264-F264</x:f>
        <x:v>1</x:v>
      </x:c>
      <x:c r="N264" t="n">
        <x:f>H264-F264</x:f>
        <x:v>3</x:v>
      </x:c>
    </x:row>
    <x:row r="265">
      <x:c r="A265" s="1" t="str">
        <x:v>PO0264</x:v>
      </x:c>
      <x:c r="B265" s="1" t="str">
        <x:v>SUP12</x:v>
      </x:c>
      <x:c r="C265" s="1" t="str">
        <x:v>Guatemala</x:v>
      </x:c>
      <x:c r="D265" s="1" t="str">
        <x:v>Maintenance services</x:v>
      </x:c>
      <x:c r="E265" s="1" t="str">
        <x:v>Buyer 4</x:v>
      </x:c>
      <x:c r="F265" s="5" t="n">
        <x:v>46106</x:v>
      </x:c>
      <x:c r="G265" s="5" t="n">
        <x:v>46111</x:v>
      </x:c>
      <x:c r="H265" s="5" t="n">
        <x:v>46113</x:v>
      </x:c>
      <x:c r="I265" s="5" t="n">
        <x:v>46138</x:v>
      </x:c>
      <x:c r="J265" s="1" t="n">
        <x:v>3736</x:v>
      </x:c>
      <x:c r="K265" s="6" t="n">
        <x:v>15.87</x:v>
      </x:c>
      <x:c r="L265" s="10" t="n">
        <x:f>J265*K265</x:f>
        <x:v>59290.32</x:v>
      </x:c>
      <x:c r="M265" t="n">
        <x:f>G265-F265</x:f>
        <x:v>5</x:v>
      </x:c>
      <x:c r="N265" t="n">
        <x:f>H265-F265</x:f>
        <x:v>7</x:v>
      </x:c>
    </x:row>
    <x:row r="266">
      <x:c r="A266" s="1" t="str">
        <x:v>PO0265</x:v>
      </x:c>
      <x:c r="B266" s="1" t="str">
        <x:v>SUP09</x:v>
      </x:c>
      <x:c r="C266" s="1" t="str">
        <x:v>Peru</x:v>
      </x:c>
      <x:c r="D266" s="1" t="str">
        <x:v>Maintenance services</x:v>
      </x:c>
      <x:c r="E266" s="1" t="str">
        <x:v>Buyer 1</x:v>
      </x:c>
      <x:c r="F266" s="5" t="n">
        <x:v>46234</x:v>
      </x:c>
      <x:c r="G266" s="5" t="n">
        <x:v>46236</x:v>
      </x:c>
      <x:c r="H266" s="5" t="n">
        <x:v>46237</x:v>
      </x:c>
      <x:c r="I266" s="5" t="n">
        <x:v>46247</x:v>
      </x:c>
      <x:c r="J266" s="1" t="n">
        <x:v>1935</x:v>
      </x:c>
      <x:c r="K266" s="6" t="n">
        <x:v>3.97</x:v>
      </x:c>
      <x:c r="L266" s="10" t="n">
        <x:f>J266*K266</x:f>
        <x:v>7681.950000000001</x:v>
      </x:c>
      <x:c r="M266" t="n">
        <x:f>G266-F266</x:f>
        <x:v>2</x:v>
      </x:c>
      <x:c r="N266" t="n">
        <x:f>H266-F266</x:f>
        <x:v>3</x:v>
      </x:c>
    </x:row>
    <x:row r="267">
      <x:c r="A267" s="1" t="str">
        <x:v>PO0266</x:v>
      </x:c>
      <x:c r="B267" s="1" t="str">
        <x:v>SUP03</x:v>
      </x:c>
      <x:c r="C267" s="1" t="str">
        <x:v>Chile</x:v>
      </x:c>
      <x:c r="D267" s="1" t="str">
        <x:v>Maintenance services</x:v>
      </x:c>
      <x:c r="E267" s="1" t="str">
        <x:v>Buyer 2</x:v>
      </x:c>
      <x:c r="F267" s="5" t="n">
        <x:v>46202</x:v>
      </x:c>
      <x:c r="G267" s="5" t="n">
        <x:v>46212</x:v>
      </x:c>
      <x:c r="H267" s="5" t="n">
        <x:v>46214</x:v>
      </x:c>
      <x:c r="I267" s="5" t="n">
        <x:v>46223</x:v>
      </x:c>
      <x:c r="J267" s="1" t="n">
        <x:v>872</x:v>
      </x:c>
      <x:c r="K267" s="6" t="n">
        <x:v>12.81</x:v>
      </x:c>
      <x:c r="L267" s="10" t="n">
        <x:f>J267*K267</x:f>
        <x:v>11170.32</x:v>
      </x:c>
      <x:c r="M267" t="n">
        <x:f>G267-F267</x:f>
        <x:v>10</x:v>
      </x:c>
      <x:c r="N267" t="n">
        <x:f>H267-F267</x:f>
        <x:v>12</x:v>
      </x:c>
    </x:row>
    <x:row r="268">
      <x:c r="A268" s="1" t="str">
        <x:v>PO0267</x:v>
      </x:c>
      <x:c r="B268" s="1" t="str">
        <x:v>SUP05</x:v>
      </x:c>
      <x:c r="C268" s="1" t="str">
        <x:v>Panama</x:v>
      </x:c>
      <x:c r="D268" s="1" t="str">
        <x:v>Ingredients</x:v>
      </x:c>
      <x:c r="E268" s="1" t="str">
        <x:v>Buyer 3</x:v>
      </x:c>
      <x:c r="F268" s="5" t="n">
        <x:v>46215</x:v>
      </x:c>
      <x:c r="G268" s="5" t="n">
        <x:v>46220</x:v>
      </x:c>
      <x:c r="H268" s="5" t="n">
        <x:v>46220</x:v>
      </x:c>
      <x:c r="I268" s="5" t="n">
        <x:v>46231</x:v>
      </x:c>
      <x:c r="J268" s="1" t="n">
        <x:v>4709</x:v>
      </x:c>
      <x:c r="K268" s="6" t="n">
        <x:v>16.63</x:v>
      </x:c>
      <x:c r="L268" s="10" t="n">
        <x:f>J268*K268</x:f>
        <x:v>78310.67</x:v>
      </x:c>
      <x:c r="M268" t="n">
        <x:f>G268-F268</x:f>
        <x:v>5</x:v>
      </x:c>
      <x:c r="N268" t="n">
        <x:f>H268-F268</x:f>
        <x:v>5</x:v>
      </x:c>
    </x:row>
    <x:row r="269">
      <x:c r="A269" s="1" t="str">
        <x:v>PO0268</x:v>
      </x:c>
      <x:c r="B269" s="1" t="str">
        <x:v>SUP03</x:v>
      </x:c>
      <x:c r="C269" s="1" t="str">
        <x:v>Mexico</x:v>
      </x:c>
      <x:c r="D269" s="1" t="str">
        <x:v>Maintenance services</x:v>
      </x:c>
      <x:c r="E269" s="1" t="str">
        <x:v>Buyer 4</x:v>
      </x:c>
      <x:c r="F269" s="5" t="n">
        <x:v>46065</x:v>
      </x:c>
      <x:c r="G269" s="5" t="n">
        <x:v>46071</x:v>
      </x:c>
      <x:c r="H269" s="5" t="n">
        <x:v>46071</x:v>
      </x:c>
      <x:c r="I269" s="5" t="n">
        <x:v>46080</x:v>
      </x:c>
      <x:c r="J269" s="1" t="n">
        <x:v>4381</x:v>
      </x:c>
      <x:c r="K269" s="6" t="n">
        <x:v>18.59</x:v>
      </x:c>
      <x:c r="L269" s="10" t="n">
        <x:f>J269*K269</x:f>
        <x:v>81442.79</x:v>
      </x:c>
      <x:c r="M269" t="n">
        <x:f>G269-F269</x:f>
        <x:v>6</x:v>
      </x:c>
      <x:c r="N269" t="n">
        <x:f>H269-F269</x:f>
        <x:v>6</x:v>
      </x:c>
    </x:row>
    <x:row r="270">
      <x:c r="A270" s="1" t="str">
        <x:v>PO0269</x:v>
      </x:c>
      <x:c r="B270" s="1" t="str">
        <x:v>SUP14</x:v>
      </x:c>
      <x:c r="C270" s="1" t="str">
        <x:v>Colombia</x:v>
      </x:c>
      <x:c r="D270" s="1" t="str">
        <x:v>Ingredients</x:v>
      </x:c>
      <x:c r="E270" s="1" t="str">
        <x:v>Buyer 1</x:v>
      </x:c>
      <x:c r="F270" s="5" t="n">
        <x:v>46108</x:v>
      </x:c>
      <x:c r="G270" s="5" t="n">
        <x:v>46110</x:v>
      </x:c>
      <x:c r="H270" s="5" t="n">
        <x:v>46112</x:v>
      </x:c>
      <x:c r="I270" s="5" t="n">
        <x:v>46131</x:v>
      </x:c>
      <x:c r="J270" s="1" t="n">
        <x:v>1680</x:v>
      </x:c>
      <x:c r="K270" s="6" t="n">
        <x:v>24.63</x:v>
      </x:c>
      <x:c r="L270" s="10" t="n">
        <x:f>J270*K270</x:f>
        <x:v>41378.4</x:v>
      </x:c>
      <x:c r="M270" t="n">
        <x:f>G270-F270</x:f>
        <x:v>2</x:v>
      </x:c>
      <x:c r="N270" t="n">
        <x:f>H270-F270</x:f>
        <x:v>4</x:v>
      </x:c>
    </x:row>
    <x:row r="271">
      <x:c r="A271" s="1" t="str">
        <x:v>PO0270</x:v>
      </x:c>
      <x:c r="B271" s="1" t="str">
        <x:v>SUP09</x:v>
      </x:c>
      <x:c r="C271" s="1" t="str">
        <x:v>Costa Rica</x:v>
      </x:c>
      <x:c r="D271" s="1" t="str">
        <x:v>Maintenance services</x:v>
      </x:c>
      <x:c r="E271" s="1" t="str">
        <x:v>Buyer 2</x:v>
      </x:c>
      <x:c r="F271" s="5" t="n">
        <x:v>46278</x:v>
      </x:c>
      <x:c r="G271" s="5" t="n">
        <x:v>46281</x:v>
      </x:c>
      <x:c r="H271" s="5" t="n">
        <x:v>46283</x:v>
      </x:c>
      <x:c r="I271" s="5" t="n">
        <x:v>46297</x:v>
      </x:c>
      <x:c r="J271" s="1" t="n">
        <x:v>3287</x:v>
      </x:c>
      <x:c r="K271" s="6" t="n">
        <x:v>12.17</x:v>
      </x:c>
      <x:c r="L271" s="10" t="n">
        <x:f>J271*K271</x:f>
        <x:v>40002.79</x:v>
      </x:c>
      <x:c r="M271" t="n">
        <x:f>G271-F271</x:f>
        <x:v>3</x:v>
      </x:c>
      <x:c r="N271" t="n">
        <x:f>H271-F271</x:f>
        <x:v>5</x:v>
      </x:c>
    </x:row>
    <x:row r="272">
      <x:c r="A272" s="1" t="str">
        <x:v>PO0271</x:v>
      </x:c>
      <x:c r="B272" s="1" t="str">
        <x:v>SUP14</x:v>
      </x:c>
      <x:c r="C272" s="1" t="str">
        <x:v>Guatemala</x:v>
      </x:c>
      <x:c r="D272" s="1" t="str">
        <x:v>Ingredients</x:v>
      </x:c>
      <x:c r="E272" s="1" t="str">
        <x:v>Buyer 3</x:v>
      </x:c>
      <x:c r="F272" s="5" t="n">
        <x:v>46266</x:v>
      </x:c>
      <x:c r="G272" s="5" t="n">
        <x:v>46269</x:v>
      </x:c>
      <x:c r="H272" s="5" t="n">
        <x:v>46269</x:v>
      </x:c>
      <x:c r="I272" s="5" t="n">
        <x:v>46277</x:v>
      </x:c>
      <x:c r="J272" s="1" t="n">
        <x:v>3583</x:v>
      </x:c>
      <x:c r="K272" s="6" t="n">
        <x:v>12.61</x:v>
      </x:c>
      <x:c r="L272" s="10" t="n">
        <x:f>J272*K272</x:f>
        <x:v>45181.63</x:v>
      </x:c>
      <x:c r="M272" t="n">
        <x:f>G272-F272</x:f>
        <x:v>3</x:v>
      </x:c>
      <x:c r="N272" t="n">
        <x:f>H272-F272</x:f>
        <x:v>3</x:v>
      </x:c>
    </x:row>
    <x:row r="273">
      <x:c r="A273" s="1" t="str">
        <x:v>PO0272</x:v>
      </x:c>
      <x:c r="B273" s="1" t="str">
        <x:v>SUP07</x:v>
      </x:c>
      <x:c r="C273" s="1" t="str">
        <x:v>Peru</x:v>
      </x:c>
      <x:c r="D273" s="1" t="str">
        <x:v>Packaging</x:v>
      </x:c>
      <x:c r="E273" s="1" t="str">
        <x:v>Buyer 4</x:v>
      </x:c>
      <x:c r="F273" s="5" t="n">
        <x:v>46149</x:v>
      </x:c>
      <x:c r="G273" s="5" t="n">
        <x:v>46153</x:v>
      </x:c>
      <x:c r="H273" s="5" t="n">
        <x:v>46154</x:v>
      </x:c>
      <x:c r="I273" s="5" t="n">
        <x:v>46162</x:v>
      </x:c>
      <x:c r="J273" s="1" t="n">
        <x:v>4804</x:v>
      </x:c>
      <x:c r="K273" s="6" t="n">
        <x:v>3.72</x:v>
      </x:c>
      <x:c r="L273" s="10" t="n">
        <x:f>J273*K273</x:f>
        <x:v>17870.88</x:v>
      </x:c>
      <x:c r="M273" t="n">
        <x:f>G273-F273</x:f>
        <x:v>4</x:v>
      </x:c>
      <x:c r="N273" t="n">
        <x:f>H273-F273</x:f>
        <x:v>5</x:v>
      </x:c>
    </x:row>
    <x:row r="274">
      <x:c r="A274" s="1" t="str">
        <x:v>PO0273</x:v>
      </x:c>
      <x:c r="B274" s="1" t="str">
        <x:v>SUP03</x:v>
      </x:c>
      <x:c r="C274" s="1" t="str">
        <x:v>Chile</x:v>
      </x:c>
      <x:c r="D274" s="1" t="str">
        <x:v>Maintenance services</x:v>
      </x:c>
      <x:c r="E274" s="1" t="str">
        <x:v>Buyer 1</x:v>
      </x:c>
      <x:c r="F274" s="5" t="n">
        <x:v>46192</x:v>
      </x:c>
      <x:c r="G274" s="5" t="n">
        <x:v>46194</x:v>
      </x:c>
      <x:c r="H274" s="5" t="n">
        <x:v>46194</x:v>
      </x:c>
      <x:c r="I274" s="5" t="n">
        <x:v>46217</x:v>
      </x:c>
      <x:c r="J274" s="1" t="n">
        <x:v>864</x:v>
      </x:c>
      <x:c r="K274" s="6" t="n">
        <x:v>21.75</x:v>
      </x:c>
      <x:c r="L274" s="10" t="n">
        <x:f>J274*K274</x:f>
        <x:v>18792</x:v>
      </x:c>
      <x:c r="M274" t="n">
        <x:f>G274-F274</x:f>
        <x:v>2</x:v>
      </x:c>
      <x:c r="N274" t="n">
        <x:f>H274-F274</x:f>
        <x:v>2</x:v>
      </x:c>
    </x:row>
    <x:row r="275">
      <x:c r="A275" s="1" t="str">
        <x:v>PO0274</x:v>
      </x:c>
      <x:c r="B275" s="1" t="str">
        <x:v>SUP02</x:v>
      </x:c>
      <x:c r="C275" s="1" t="str">
        <x:v>Panama</x:v>
      </x:c>
      <x:c r="D275" s="1" t="str">
        <x:v>Ingredients</x:v>
      </x:c>
      <x:c r="E275" s="1" t="str">
        <x:v>Buyer 2</x:v>
      </x:c>
      <x:c r="F275" s="5" t="n">
        <x:v>46222</x:v>
      </x:c>
      <x:c r="G275" s="5" t="n">
        <x:v>46223</x:v>
      </x:c>
      <x:c r="H275" s="5" t="n">
        <x:v>46224</x:v>
      </x:c>
      <x:c r="I275" s="5" t="n">
        <x:v>46233</x:v>
      </x:c>
      <x:c r="J275" s="1" t="n">
        <x:v>2499</x:v>
      </x:c>
      <x:c r="K275" s="6" t="n">
        <x:v>16.85</x:v>
      </x:c>
      <x:c r="L275" s="10" t="n">
        <x:f>J275*K275</x:f>
        <x:v>42108.15</x:v>
      </x:c>
      <x:c r="M275" t="n">
        <x:f>G275-F275</x:f>
        <x:v>1</x:v>
      </x:c>
      <x:c r="N275" t="n">
        <x:f>H275-F275</x:f>
        <x:v>2</x:v>
      </x:c>
    </x:row>
    <x:row r="276">
      <x:c r="A276" s="1" t="str">
        <x:v>PO0275</x:v>
      </x:c>
      <x:c r="B276" s="1" t="str">
        <x:v>SUP02</x:v>
      </x:c>
      <x:c r="C276" s="1" t="str">
        <x:v>Mexico</x:v>
      </x:c>
      <x:c r="D276" s="1" t="str">
        <x:v>Ingredients</x:v>
      </x:c>
      <x:c r="E276" s="1" t="str">
        <x:v>Buyer 3</x:v>
      </x:c>
      <x:c r="F276" s="5" t="n">
        <x:v>46081</x:v>
      </x:c>
      <x:c r="G276" s="5" t="n">
        <x:v>46086</x:v>
      </x:c>
      <x:c r="H276" s="5" t="n">
        <x:v>46087</x:v>
      </x:c>
      <x:c r="I276" s="5" t="n">
        <x:v>46100</x:v>
      </x:c>
      <x:c r="J276" s="1" t="n">
        <x:v>3642</x:v>
      </x:c>
      <x:c r="K276" s="6" t="n">
        <x:v>19.95</x:v>
      </x:c>
      <x:c r="L276" s="10" t="n">
        <x:f>J276*K276</x:f>
        <x:v>72657.9</x:v>
      </x:c>
      <x:c r="M276" t="n">
        <x:f>G276-F276</x:f>
        <x:v>5</x:v>
      </x:c>
      <x:c r="N276" t="n">
        <x:f>H276-F276</x:f>
        <x:v>6</x:v>
      </x:c>
    </x:row>
    <x:row r="277">
      <x:c r="A277" s="1" t="str">
        <x:v>PO0276</x:v>
      </x:c>
      <x:c r="B277" s="1" t="str">
        <x:v>SUP07</x:v>
      </x:c>
      <x:c r="C277" s="1" t="str">
        <x:v>Colombia</x:v>
      </x:c>
      <x:c r="D277" s="1" t="str">
        <x:v>Packaging</x:v>
      </x:c>
      <x:c r="E277" s="1" t="str">
        <x:v>Buyer 4</x:v>
      </x:c>
      <x:c r="F277" s="5" t="n">
        <x:v>46029</x:v>
      </x:c>
      <x:c r="G277" s="5" t="n">
        <x:v>46033</x:v>
      </x:c>
      <x:c r="H277" s="5" t="n">
        <x:v>46033</x:v>
      </x:c>
      <x:c r="I277" s="5" t="n">
        <x:v>46042</x:v>
      </x:c>
      <x:c r="J277" s="1" t="n">
        <x:v>4204</x:v>
      </x:c>
      <x:c r="K277" s="6" t="n">
        <x:v>17.09</x:v>
      </x:c>
      <x:c r="L277" s="10" t="n">
        <x:f>J277*K277</x:f>
        <x:v>71846.36</x:v>
      </x:c>
      <x:c r="M277" t="n">
        <x:f>G277-F277</x:f>
        <x:v>4</x:v>
      </x:c>
      <x:c r="N277" t="n">
        <x:f>H277-F277</x:f>
        <x:v>4</x:v>
      </x:c>
    </x:row>
    <x:row r="278">
      <x:c r="A278" s="1" t="str">
        <x:v>PO0277</x:v>
      </x:c>
      <x:c r="B278" s="1" t="str">
        <x:v>SUP04</x:v>
      </x:c>
      <x:c r="C278" s="1" t="str">
        <x:v>Costa Rica</x:v>
      </x:c>
      <x:c r="D278" s="1" t="str">
        <x:v>Packaging</x:v>
      </x:c>
      <x:c r="E278" s="1" t="str">
        <x:v>Buyer 1</x:v>
      </x:c>
      <x:c r="F278" s="5" t="n">
        <x:v>46029</x:v>
      </x:c>
      <x:c r="G278" s="5" t="n">
        <x:v>46030</x:v>
      </x:c>
      <x:c r="H278" s="5" t="n">
        <x:v>46030</x:v>
      </x:c>
      <x:c r="I278" s="5" t="n">
        <x:v>46051</x:v>
      </x:c>
      <x:c r="J278" s="1" t="n">
        <x:v>4246</x:v>
      </x:c>
      <x:c r="K278" s="6" t="n">
        <x:v>5.26</x:v>
      </x:c>
      <x:c r="L278" s="10" t="n">
        <x:f>J278*K278</x:f>
        <x:v>22333.96</x:v>
      </x:c>
      <x:c r="M278" t="n">
        <x:f>G278-F278</x:f>
        <x:v>1</x:v>
      </x:c>
      <x:c r="N278" t="n">
        <x:f>H278-F278</x:f>
        <x:v>1</x:v>
      </x:c>
    </x:row>
    <x:row r="279">
      <x:c r="A279" s="1" t="str">
        <x:v>PO0278</x:v>
      </x:c>
      <x:c r="B279" s="1" t="str">
        <x:v>SUP13</x:v>
      </x:c>
      <x:c r="C279" s="1" t="str">
        <x:v>Guatemala</x:v>
      </x:c>
      <x:c r="D279" s="1" t="str">
        <x:v>Packaging</x:v>
      </x:c>
      <x:c r="E279" s="1" t="str">
        <x:v>Buyer 2</x:v>
      </x:c>
      <x:c r="F279" s="5" t="n">
        <x:v>46061</x:v>
      </x:c>
      <x:c r="G279" s="5" t="n">
        <x:v>46066</x:v>
      </x:c>
      <x:c r="H279" s="5" t="n">
        <x:v>46066</x:v>
      </x:c>
      <x:c r="I279" s="5" t="n">
        <x:v>46076</x:v>
      </x:c>
      <x:c r="J279" s="1" t="n">
        <x:v>1793</x:v>
      </x:c>
      <x:c r="K279" s="6" t="n">
        <x:v>8.9</x:v>
      </x:c>
      <x:c r="L279" s="10" t="n">
        <x:f>J279*K279</x:f>
        <x:v>15957.7</x:v>
      </x:c>
      <x:c r="M279" t="n">
        <x:f>G279-F279</x:f>
        <x:v>5</x:v>
      </x:c>
      <x:c r="N279" t="n">
        <x:f>H279-F279</x:f>
        <x:v>5</x:v>
      </x:c>
    </x:row>
    <x:row r="280">
      <x:c r="A280" s="1" t="str">
        <x:v>PO0279</x:v>
      </x:c>
      <x:c r="B280" s="1" t="str">
        <x:v>SUP07</x:v>
      </x:c>
      <x:c r="C280" s="1" t="str">
        <x:v>Peru</x:v>
      </x:c>
      <x:c r="D280" s="1" t="str">
        <x:v>Packaging</x:v>
      </x:c>
      <x:c r="E280" s="1" t="str">
        <x:v>Buyer 3</x:v>
      </x:c>
      <x:c r="F280" s="5" t="n">
        <x:v>46117</x:v>
      </x:c>
      <x:c r="G280" s="5" t="n">
        <x:v>46120</x:v>
      </x:c>
      <x:c r="H280" s="5" t="n">
        <x:v>46121</x:v>
      </x:c>
      <x:c r="I280" s="5" t="n">
        <x:v>46139</x:v>
      </x:c>
      <x:c r="J280" s="1" t="n">
        <x:v>4221</x:v>
      </x:c>
      <x:c r="K280" s="6" t="n">
        <x:v>1.74</x:v>
      </x:c>
      <x:c r="L280" s="10" t="n">
        <x:f>J280*K280</x:f>
        <x:v>7344.54</x:v>
      </x:c>
      <x:c r="M280" t="n">
        <x:f>G280-F280</x:f>
        <x:v>3</x:v>
      </x:c>
      <x:c r="N280" t="n">
        <x:f>H280-F280</x:f>
        <x:v>4</x:v>
      </x:c>
    </x:row>
    <x:row r="281">
      <x:c r="A281" s="1" t="str">
        <x:v>PO0280</x:v>
      </x:c>
      <x:c r="B281" s="1" t="str">
        <x:v>SUP01</x:v>
      </x:c>
      <x:c r="C281" s="1" t="str">
        <x:v>Chile</x:v>
      </x:c>
      <x:c r="D281" s="1" t="str">
        <x:v>Packaging</x:v>
      </x:c>
      <x:c r="E281" s="1" t="str">
        <x:v>Buyer 4</x:v>
      </x:c>
      <x:c r="F281" s="5" t="n">
        <x:v>46097</x:v>
      </x:c>
      <x:c r="G281" s="5" t="n">
        <x:v>46099</x:v>
      </x:c>
      <x:c r="H281" s="5" t="n">
        <x:v>46101</x:v>
      </x:c>
      <x:c r="I281" s="5" t="n">
        <x:v>46115</x:v>
      </x:c>
      <x:c r="J281" s="1" t="n">
        <x:v>1949</x:v>
      </x:c>
      <x:c r="K281" s="6" t="n">
        <x:v>17.99</x:v>
      </x:c>
      <x:c r="L281" s="10" t="n">
        <x:f>J281*K281</x:f>
        <x:v>35062.509999999995</x:v>
      </x:c>
      <x:c r="M281" t="n">
        <x:f>G281-F281</x:f>
        <x:v>2</x:v>
      </x:c>
      <x:c r="N281" t="n">
        <x:f>H281-F281</x:f>
        <x:v>4</x:v>
      </x:c>
    </x:row>
    <x:row r="282">
      <x:c r="A282" s="1" t="str">
        <x:v>PO0281</x:v>
      </x:c>
      <x:c r="B282" s="1" t="str">
        <x:v>SUP12</x:v>
      </x:c>
      <x:c r="C282" s="1" t="str">
        <x:v>Panama</x:v>
      </x:c>
      <x:c r="D282" s="1" t="str">
        <x:v>Maintenance services</x:v>
      </x:c>
      <x:c r="E282" s="1" t="str">
        <x:v>Buyer 1</x:v>
      </x:c>
      <x:c r="F282" s="5" t="n">
        <x:v>46168</x:v>
      </x:c>
      <x:c r="G282" s="5" t="n">
        <x:v>46173</x:v>
      </x:c>
      <x:c r="H282" s="5" t="n">
        <x:v>46175</x:v>
      </x:c>
      <x:c r="I282" s="5" t="n">
        <x:v>46189</x:v>
      </x:c>
      <x:c r="J282" s="1" t="n">
        <x:v>1013</x:v>
      </x:c>
      <x:c r="K282" s="6" t="n">
        <x:v>6.95</x:v>
      </x:c>
      <x:c r="L282" s="10" t="n">
        <x:f>J282*K282</x:f>
        <x:v>7040.35</x:v>
      </x:c>
      <x:c r="M282" t="n">
        <x:f>G282-F282</x:f>
        <x:v>5</x:v>
      </x:c>
      <x:c r="N282" t="n">
        <x:f>H282-F282</x:f>
        <x:v>7</x:v>
      </x:c>
    </x:row>
    <x:row r="283">
      <x:c r="A283" s="1" t="str">
        <x:v>PO0282</x:v>
      </x:c>
      <x:c r="B283" s="1" t="str">
        <x:v>SUP14</x:v>
      </x:c>
      <x:c r="C283" s="1" t="str">
        <x:v>Mexico</x:v>
      </x:c>
      <x:c r="D283" s="1" t="str">
        <x:v>Ingredients</x:v>
      </x:c>
      <x:c r="E283" s="1" t="str">
        <x:v>Buyer 2</x:v>
      </x:c>
      <x:c r="F283" s="5" t="n">
        <x:v>46089</x:v>
      </x:c>
      <x:c r="G283" s="5" t="n">
        <x:v>46094</x:v>
      </x:c>
      <x:c r="H283" s="5" t="n">
        <x:v>46096</x:v>
      </x:c>
      <x:c r="I283" s="5" t="n">
        <x:v>46120</x:v>
      </x:c>
      <x:c r="J283" s="1" t="n">
        <x:v>244</x:v>
      </x:c>
      <x:c r="K283" s="6" t="n">
        <x:v>12.98</x:v>
      </x:c>
      <x:c r="L283" s="10" t="n">
        <x:f>J283*K283</x:f>
        <x:v>3167.12</x:v>
      </x:c>
      <x:c r="M283" t="n">
        <x:f>G283-F283</x:f>
        <x:v>5</x:v>
      </x:c>
      <x:c r="N283" t="n">
        <x:f>H283-F283</x:f>
        <x:v>7</x:v>
      </x:c>
    </x:row>
    <x:row r="284">
      <x:c r="A284" s="1" t="str">
        <x:v>PO0283</x:v>
      </x:c>
      <x:c r="B284" s="1" t="str">
        <x:v>SUP02</x:v>
      </x:c>
      <x:c r="C284" s="1" t="str">
        <x:v>Colombia</x:v>
      </x:c>
      <x:c r="D284" s="1" t="str">
        <x:v>Ingredients</x:v>
      </x:c>
      <x:c r="E284" s="1" t="str">
        <x:v>Buyer 3</x:v>
      </x:c>
      <x:c r="F284" s="5" t="n">
        <x:v>46048</x:v>
      </x:c>
      <x:c r="G284" s="5" t="n">
        <x:v>46051</x:v>
      </x:c>
      <x:c r="H284" s="5" t="n">
        <x:v>46051</x:v>
      </x:c>
      <x:c r="I284" s="5" t="n">
        <x:v>46070</x:v>
      </x:c>
      <x:c r="J284" s="1" t="n">
        <x:v>1878</x:v>
      </x:c>
      <x:c r="K284" s="6" t="n">
        <x:v>6.88</x:v>
      </x:c>
      <x:c r="L284" s="10" t="n">
        <x:f>J284*K284</x:f>
        <x:v>12920.64</x:v>
      </x:c>
      <x:c r="M284" t="n">
        <x:f>G284-F284</x:f>
        <x:v>3</x:v>
      </x:c>
      <x:c r="N284" t="n">
        <x:f>H284-F284</x:f>
        <x:v>3</x:v>
      </x:c>
    </x:row>
    <x:row r="285">
      <x:c r="A285" s="1" t="str">
        <x:v>PO0284</x:v>
      </x:c>
      <x:c r="B285" s="1" t="str">
        <x:v>SUP10</x:v>
      </x:c>
      <x:c r="C285" s="1" t="str">
        <x:v>Costa Rica</x:v>
      </x:c>
      <x:c r="D285" s="1" t="str">
        <x:v>Packaging</x:v>
      </x:c>
      <x:c r="E285" s="1" t="str">
        <x:v>Buyer 4</x:v>
      </x:c>
      <x:c r="F285" s="5" t="n">
        <x:v>46028</x:v>
      </x:c>
      <x:c r="G285" s="5" t="n">
        <x:v>46031</x:v>
      </x:c>
      <x:c r="H285" s="5" t="n">
        <x:v>46031</x:v>
      </x:c>
      <x:c r="I285" s="5" t="n">
        <x:v>46043</x:v>
      </x:c>
      <x:c r="J285" s="1" t="n">
        <x:v>143</x:v>
      </x:c>
      <x:c r="K285" s="6" t="n">
        <x:v>22.84</x:v>
      </x:c>
      <x:c r="L285" s="10" t="n">
        <x:f>J285*K285</x:f>
        <x:v>3266.12</x:v>
      </x:c>
      <x:c r="M285" t="n">
        <x:f>G285-F285</x:f>
        <x:v>3</x:v>
      </x:c>
      <x:c r="N285" t="n">
        <x:f>H285-F285</x:f>
        <x:v>3</x:v>
      </x:c>
    </x:row>
    <x:row r="286">
      <x:c r="A286" s="1" t="str">
        <x:v>PO0285</x:v>
      </x:c>
      <x:c r="B286" s="1" t="str">
        <x:v>SUP11</x:v>
      </x:c>
      <x:c r="C286" s="1" t="str">
        <x:v>Guatemala</x:v>
      </x:c>
      <x:c r="D286" s="1" t="str">
        <x:v>Ingredients</x:v>
      </x:c>
      <x:c r="E286" s="1" t="str">
        <x:v>Buyer 1</x:v>
      </x:c>
      <x:c r="F286" s="5" t="n">
        <x:v>46273</x:v>
      </x:c>
      <x:c r="G286" s="5" t="n">
        <x:v>46276</x:v>
      </x:c>
      <x:c r="H286" s="5" t="n">
        <x:v>46276</x:v>
      </x:c>
      <x:c r="I286" s="5" t="n">
        <x:v>46293</x:v>
      </x:c>
      <x:c r="J286" s="1" t="n">
        <x:v>4864</x:v>
      </x:c>
      <x:c r="K286" s="6" t="n">
        <x:v>5.05</x:v>
      </x:c>
      <x:c r="L286" s="10" t="n">
        <x:f>J286*K286</x:f>
        <x:v>24563.2</x:v>
      </x:c>
      <x:c r="M286" t="n">
        <x:f>G286-F286</x:f>
        <x:v>3</x:v>
      </x:c>
      <x:c r="N286" t="n">
        <x:f>H286-F286</x:f>
        <x:v>3</x:v>
      </x:c>
    </x:row>
    <x:row r="287">
      <x:c r="A287" s="1" t="str">
        <x:v>PO0286</x:v>
      </x:c>
      <x:c r="B287" s="1" t="str">
        <x:v>SUP12</x:v>
      </x:c>
      <x:c r="C287" s="1" t="str">
        <x:v>Peru</x:v>
      </x:c>
      <x:c r="D287" s="1" t="str">
        <x:v>Maintenance services</x:v>
      </x:c>
      <x:c r="E287" s="1" t="str">
        <x:v>Buyer 2</x:v>
      </x:c>
      <x:c r="F287" s="5" t="n">
        <x:v>46207</x:v>
      </x:c>
      <x:c r="G287" s="5" t="n">
        <x:v>46209</x:v>
      </x:c>
      <x:c r="H287" s="5" t="n">
        <x:v>46209</x:v>
      </x:c>
      <x:c r="I287" s="5" t="n">
        <x:v>46228</x:v>
      </x:c>
      <x:c r="J287" s="1" t="n">
        <x:v>4316</x:v>
      </x:c>
      <x:c r="K287" s="6" t="n">
        <x:v>2.32</x:v>
      </x:c>
      <x:c r="L287" s="10" t="n">
        <x:f>J287*K287</x:f>
        <x:v>10013.119999999999</x:v>
      </x:c>
      <x:c r="M287" t="n">
        <x:f>G287-F287</x:f>
        <x:v>2</x:v>
      </x:c>
      <x:c r="N287" t="n">
        <x:f>H287-F287</x:f>
        <x:v>2</x:v>
      </x:c>
    </x:row>
    <x:row r="288">
      <x:c r="A288" s="1" t="str">
        <x:v>PO0287</x:v>
      </x:c>
      <x:c r="B288" s="1" t="str">
        <x:v>SUP03</x:v>
      </x:c>
      <x:c r="C288" s="1" t="str">
        <x:v>Chile</x:v>
      </x:c>
      <x:c r="D288" s="1" t="str">
        <x:v>Maintenance services</x:v>
      </x:c>
      <x:c r="E288" s="1" t="str">
        <x:v>Buyer 3</x:v>
      </x:c>
      <x:c r="F288" s="5" t="n">
        <x:v>46275</x:v>
      </x:c>
      <x:c r="G288" s="5" t="n">
        <x:v>46286</x:v>
      </x:c>
      <x:c r="H288" s="5" t="n">
        <x:v>46286</x:v>
      </x:c>
      <x:c r="I288" s="5" t="n">
        <x:v>46302</x:v>
      </x:c>
      <x:c r="J288" s="1" t="n">
        <x:v>2724</x:v>
      </x:c>
      <x:c r="K288" s="6" t="n">
        <x:v>19.97</x:v>
      </x:c>
      <x:c r="L288" s="10" t="n">
        <x:f>J288*K288</x:f>
        <x:v>54398.28</x:v>
      </x:c>
      <x:c r="M288" t="n">
        <x:f>G288-F288</x:f>
        <x:v>11</x:v>
      </x:c>
      <x:c r="N288" t="n">
        <x:f>H288-F288</x:f>
        <x:v>11</x:v>
      </x:c>
    </x:row>
    <x:row r="289">
      <x:c r="A289" s="1" t="str">
        <x:v>PO0288</x:v>
      </x:c>
      <x:c r="B289" s="1" t="str">
        <x:v>SUP06</x:v>
      </x:c>
      <x:c r="C289" s="1" t="str">
        <x:v>Panama</x:v>
      </x:c>
      <x:c r="D289" s="1" t="str">
        <x:v>Maintenance services</x:v>
      </x:c>
      <x:c r="E289" s="1" t="str">
        <x:v>Buyer 4</x:v>
      </x:c>
      <x:c r="F289" s="5" t="n">
        <x:v>46074</x:v>
      </x:c>
      <x:c r="G289" s="5" t="n">
        <x:v>46079</x:v>
      </x:c>
      <x:c r="H289" s="5" t="n">
        <x:v>46081</x:v>
      </x:c>
      <x:c r="I289" s="5" t="n">
        <x:v>46103</x:v>
      </x:c>
      <x:c r="J289" s="1" t="n">
        <x:v>2548</x:v>
      </x:c>
      <x:c r="K289" s="6" t="n">
        <x:v>9.66</x:v>
      </x:c>
      <x:c r="L289" s="10" t="n">
        <x:f>J289*K289</x:f>
        <x:v>24613.68</x:v>
      </x:c>
      <x:c r="M289" t="n">
        <x:f>G289-F289</x:f>
        <x:v>5</x:v>
      </x:c>
      <x:c r="N289" t="n">
        <x:f>H289-F289</x:f>
        <x:v>7</x:v>
      </x:c>
    </x:row>
    <x:row r="290">
      <x:c r="A290" s="1" t="str">
        <x:v>PO0289</x:v>
      </x:c>
      <x:c r="B290" s="1" t="str">
        <x:v>SUP07</x:v>
      </x:c>
      <x:c r="C290" s="1" t="str">
        <x:v>Mexico</x:v>
      </x:c>
      <x:c r="D290" s="1" t="str">
        <x:v>Packaging</x:v>
      </x:c>
      <x:c r="E290" s="1" t="str">
        <x:v>Buyer 1</x:v>
      </x:c>
      <x:c r="F290" s="5" t="n">
        <x:v>46154</x:v>
      </x:c>
      <x:c r="G290" s="5" t="n">
        <x:v>46158</x:v>
      </x:c>
      <x:c r="H290" s="5" t="n">
        <x:v>46158</x:v>
      </x:c>
      <x:c r="I290" s="5" t="n">
        <x:v>46174</x:v>
      </x:c>
      <x:c r="J290" s="1" t="n">
        <x:v>131</x:v>
      </x:c>
      <x:c r="K290" s="6" t="n">
        <x:v>11.07</x:v>
      </x:c>
      <x:c r="L290" s="10" t="n">
        <x:f>J290*K290</x:f>
        <x:v>1450.17</x:v>
      </x:c>
      <x:c r="M290" t="n">
        <x:f>G290-F290</x:f>
        <x:v>4</x:v>
      </x:c>
      <x:c r="N290" t="n">
        <x:f>H290-F290</x:f>
        <x:v>4</x:v>
      </x:c>
    </x:row>
    <x:row r="291">
      <x:c r="A291" s="1" t="str">
        <x:v>PO0290</x:v>
      </x:c>
      <x:c r="B291" s="1" t="str">
        <x:v>SUP10</x:v>
      </x:c>
      <x:c r="C291" s="1" t="str">
        <x:v>Colombia</x:v>
      </x:c>
      <x:c r="D291" s="1" t="str">
        <x:v>Packaging</x:v>
      </x:c>
      <x:c r="E291" s="1" t="str">
        <x:v>Buyer 2</x:v>
      </x:c>
      <x:c r="F291" s="5" t="n">
        <x:v>46224</x:v>
      </x:c>
      <x:c r="G291" s="5" t="n">
        <x:v>46226</x:v>
      </x:c>
      <x:c r="H291" s="5" t="n">
        <x:v>46227</x:v>
      </x:c>
      <x:c r="I291" s="5" t="n">
        <x:v>46248</x:v>
      </x:c>
      <x:c r="J291" s="1" t="n">
        <x:v>3207</x:v>
      </x:c>
      <x:c r="K291" s="6" t="n">
        <x:v>20.27</x:v>
      </x:c>
      <x:c r="L291" s="10" t="n">
        <x:f>J291*K291</x:f>
        <x:v>65005.89</x:v>
      </x:c>
      <x:c r="M291" t="n">
        <x:f>G291-F291</x:f>
        <x:v>2</x:v>
      </x:c>
      <x:c r="N291" t="n">
        <x:f>H291-F291</x:f>
        <x:v>3</x:v>
      </x:c>
    </x:row>
    <x:row r="292">
      <x:c r="A292" s="1" t="str">
        <x:v>PO0291</x:v>
      </x:c>
      <x:c r="B292" s="1" t="str">
        <x:v>SUP12</x:v>
      </x:c>
      <x:c r="C292" s="1" t="str">
        <x:v>Costa Rica</x:v>
      </x:c>
      <x:c r="D292" s="1" t="str">
        <x:v>Maintenance services</x:v>
      </x:c>
      <x:c r="E292" s="1" t="str">
        <x:v>Buyer 3</x:v>
      </x:c>
      <x:c r="F292" s="5" t="n">
        <x:v>46174</x:v>
      </x:c>
      <x:c r="G292" s="5" t="n">
        <x:v>46179</x:v>
      </x:c>
      <x:c r="H292" s="5" t="n">
        <x:v>46180</x:v>
      </x:c>
      <x:c r="I292" s="5" t="n">
        <x:v>46197</x:v>
      </x:c>
      <x:c r="J292" s="1" t="n">
        <x:v>2882</x:v>
      </x:c>
      <x:c r="K292" s="6" t="n">
        <x:v>21.14</x:v>
      </x:c>
      <x:c r="L292" s="10" t="n">
        <x:f>J292*K292</x:f>
        <x:v>60925.48</x:v>
      </x:c>
      <x:c r="M292" t="n">
        <x:f>G292-F292</x:f>
        <x:v>5</x:v>
      </x:c>
      <x:c r="N292" t="n">
        <x:f>H292-F292</x:f>
        <x:v>6</x:v>
      </x:c>
    </x:row>
    <x:row r="293">
      <x:c r="A293" s="1" t="str">
        <x:v>PO0292</x:v>
      </x:c>
      <x:c r="B293" s="1" t="str">
        <x:v>SUP06</x:v>
      </x:c>
      <x:c r="C293" s="1" t="str">
        <x:v>Guatemala</x:v>
      </x:c>
      <x:c r="D293" s="1" t="str">
        <x:v>Maintenance services</x:v>
      </x:c>
      <x:c r="E293" s="1" t="str">
        <x:v>Buyer 4</x:v>
      </x:c>
      <x:c r="F293" s="5" t="n">
        <x:v>46184</x:v>
      </x:c>
      <x:c r="G293" s="5" t="n">
        <x:v>46187</x:v>
      </x:c>
      <x:c r="H293" s="5" t="n">
        <x:v>46187</x:v>
      </x:c>
      <x:c r="I293" s="5" t="n">
        <x:v>46195</x:v>
      </x:c>
      <x:c r="J293" s="1" t="n">
        <x:v>4129</x:v>
      </x:c>
      <x:c r="K293" s="6" t="n">
        <x:v>5.31</x:v>
      </x:c>
      <x:c r="L293" s="10" t="n">
        <x:f>J293*K293</x:f>
        <x:v>21924.989999999998</x:v>
      </x:c>
      <x:c r="M293" t="n">
        <x:f>G293-F293</x:f>
        <x:v>3</x:v>
      </x:c>
      <x:c r="N293" t="n">
        <x:f>H293-F293</x:f>
        <x:v>3</x:v>
      </x:c>
    </x:row>
    <x:row r="294">
      <x:c r="A294" s="1" t="str">
        <x:v>PO0293</x:v>
      </x:c>
      <x:c r="B294" s="1" t="str">
        <x:v>SUP12</x:v>
      </x:c>
      <x:c r="C294" s="1" t="str">
        <x:v>Peru</x:v>
      </x:c>
      <x:c r="D294" s="1" t="str">
        <x:v>Maintenance services</x:v>
      </x:c>
      <x:c r="E294" s="1" t="str">
        <x:v>Buyer 1</x:v>
      </x:c>
      <x:c r="F294" s="5" t="n">
        <x:v>46272</x:v>
      </x:c>
      <x:c r="G294" s="5" t="n">
        <x:v>46275</x:v>
      </x:c>
      <x:c r="H294" s="5" t="n">
        <x:v>46277</x:v>
      </x:c>
      <x:c r="I294" s="5" t="n">
        <x:v>46291</x:v>
      </x:c>
      <x:c r="J294" s="1" t="n">
        <x:v>4893</x:v>
      </x:c>
      <x:c r="K294" s="6" t="n">
        <x:v>18.54</x:v>
      </x:c>
      <x:c r="L294" s="10" t="n">
        <x:f>J294*K294</x:f>
        <x:v>90716.22</x:v>
      </x:c>
      <x:c r="M294" t="n">
        <x:f>G294-F294</x:f>
        <x:v>3</x:v>
      </x:c>
      <x:c r="N294" t="n">
        <x:f>H294-F294</x:f>
        <x:v>5</x:v>
      </x:c>
    </x:row>
    <x:row r="295">
      <x:c r="A295" s="1" t="str">
        <x:v>PO0294</x:v>
      </x:c>
      <x:c r="B295" s="1" t="str">
        <x:v>SUP14</x:v>
      </x:c>
      <x:c r="C295" s="1" t="str">
        <x:v>Chile</x:v>
      </x:c>
      <x:c r="D295" s="1" t="str">
        <x:v>Ingredients</x:v>
      </x:c>
      <x:c r="E295" s="1" t="str">
        <x:v>Buyer 2</x:v>
      </x:c>
      <x:c r="F295" s="5" t="n">
        <x:v>46243</x:v>
      </x:c>
      <x:c r="G295" s="5" t="n">
        <x:v>46247</x:v>
      </x:c>
      <x:c r="H295" s="5" t="n">
        <x:v>46247</x:v>
      </x:c>
      <x:c r="I295" s="5" t="n">
        <x:v>46272</x:v>
      </x:c>
      <x:c r="J295" s="1" t="n">
        <x:v>4796</x:v>
      </x:c>
      <x:c r="K295" s="6" t="n">
        <x:v>4.83</x:v>
      </x:c>
      <x:c r="L295" s="10" t="n">
        <x:f>J295*K295</x:f>
        <x:v>23164.68</x:v>
      </x:c>
      <x:c r="M295" t="n">
        <x:f>G295-F295</x:f>
        <x:v>4</x:v>
      </x:c>
      <x:c r="N295" t="n">
        <x:f>H295-F295</x:f>
        <x:v>4</x:v>
      </x:c>
    </x:row>
    <x:row r="296">
      <x:c r="A296" s="1" t="str">
        <x:v>PO0295</x:v>
      </x:c>
      <x:c r="B296" s="1" t="str">
        <x:v>SUP04</x:v>
      </x:c>
      <x:c r="C296" s="1" t="str">
        <x:v>Panama</x:v>
      </x:c>
      <x:c r="D296" s="1" t="str">
        <x:v>Packaging</x:v>
      </x:c>
      <x:c r="E296" s="1" t="str">
        <x:v>Buyer 3</x:v>
      </x:c>
      <x:c r="F296" s="5" t="n">
        <x:v>46191</x:v>
      </x:c>
      <x:c r="G296" s="5" t="n">
        <x:v>46193</x:v>
      </x:c>
      <x:c r="H296" s="5" t="n">
        <x:v>46193</x:v>
      </x:c>
      <x:c r="I296" s="5" t="n">
        <x:v>46214</x:v>
      </x:c>
      <x:c r="J296" s="1" t="n">
        <x:v>1005</x:v>
      </x:c>
      <x:c r="K296" s="6" t="n">
        <x:v>20.36</x:v>
      </x:c>
      <x:c r="L296" s="10" t="n">
        <x:f>J296*K296</x:f>
        <x:v>20461.8</x:v>
      </x:c>
      <x:c r="M296" t="n">
        <x:f>G296-F296</x:f>
        <x:v>2</x:v>
      </x:c>
      <x:c r="N296" t="n">
        <x:f>H296-F296</x:f>
        <x:v>2</x:v>
      </x:c>
    </x:row>
    <x:row r="297">
      <x:c r="A297" s="1" t="str">
        <x:v>PO0296</x:v>
      </x:c>
      <x:c r="B297" s="1" t="str">
        <x:v>SUP04</x:v>
      </x:c>
      <x:c r="C297" s="1" t="str">
        <x:v>Mexico</x:v>
      </x:c>
      <x:c r="D297" s="1" t="str">
        <x:v>Packaging</x:v>
      </x:c>
      <x:c r="E297" s="1" t="str">
        <x:v>Buyer 4</x:v>
      </x:c>
      <x:c r="F297" s="5" t="n">
        <x:v>46069</x:v>
      </x:c>
      <x:c r="G297" s="5" t="n">
        <x:v>46074</x:v>
      </x:c>
      <x:c r="H297" s="5" t="n">
        <x:v>46074</x:v>
      </x:c>
      <x:c r="I297" s="5" t="n">
        <x:v>46094</x:v>
      </x:c>
      <x:c r="J297" s="1" t="n">
        <x:v>4494</x:v>
      </x:c>
      <x:c r="K297" s="6" t="n">
        <x:v>10.54</x:v>
      </x:c>
      <x:c r="L297" s="10" t="n">
        <x:f>J297*K297</x:f>
        <x:v>47366.759999999995</x:v>
      </x:c>
      <x:c r="M297" t="n">
        <x:f>G297-F297</x:f>
        <x:v>5</x:v>
      </x:c>
      <x:c r="N297" t="n">
        <x:f>H297-F297</x:f>
        <x:v>5</x:v>
      </x:c>
    </x:row>
    <x:row r="298">
      <x:c r="A298" s="1" t="str">
        <x:v>PO0297</x:v>
      </x:c>
      <x:c r="B298" s="1" t="str">
        <x:v>SUP10</x:v>
      </x:c>
      <x:c r="C298" s="1" t="str">
        <x:v>Colombia</x:v>
      </x:c>
      <x:c r="D298" s="1" t="str">
        <x:v>Packaging</x:v>
      </x:c>
      <x:c r="E298" s="1" t="str">
        <x:v>Buyer 1</x:v>
      </x:c>
      <x:c r="F298" s="5" t="n">
        <x:v>46193</x:v>
      </x:c>
      <x:c r="G298" s="5" t="n">
        <x:v>46195</x:v>
      </x:c>
      <x:c r="H298" s="5" t="n">
        <x:v>46195</x:v>
      </x:c>
      <x:c r="I298" s="5" t="n">
        <x:v>46206</x:v>
      </x:c>
      <x:c r="J298" s="1" t="n">
        <x:v>2538</x:v>
      </x:c>
      <x:c r="K298" s="6" t="n">
        <x:v>12.12</x:v>
      </x:c>
      <x:c r="L298" s="10" t="n">
        <x:f>J298*K298</x:f>
        <x:v>30760.559999999998</x:v>
      </x:c>
      <x:c r="M298" t="n">
        <x:f>G298-F298</x:f>
        <x:v>2</x:v>
      </x:c>
      <x:c r="N298" t="n">
        <x:f>H298-F298</x:f>
        <x:v>2</x:v>
      </x:c>
    </x:row>
    <x:row r="299">
      <x:c r="A299" s="1" t="str">
        <x:v>PO0298</x:v>
      </x:c>
      <x:c r="B299" s="1" t="str">
        <x:v>SUP14</x:v>
      </x:c>
      <x:c r="C299" s="1" t="str">
        <x:v>Costa Rica</x:v>
      </x:c>
      <x:c r="D299" s="1" t="str">
        <x:v>Ingredients</x:v>
      </x:c>
      <x:c r="E299" s="1" t="str">
        <x:v>Buyer 2</x:v>
      </x:c>
      <x:c r="F299" s="5" t="n">
        <x:v>46095</x:v>
      </x:c>
      <x:c r="G299" s="5" t="n">
        <x:v>46098</x:v>
      </x:c>
      <x:c r="H299" s="5" t="n">
        <x:v>46100</x:v>
      </x:c>
      <x:c r="I299" s="5" t="n">
        <x:v>46109</x:v>
      </x:c>
      <x:c r="J299" s="1" t="n">
        <x:v>4708</x:v>
      </x:c>
      <x:c r="K299" s="6" t="n">
        <x:v>21.14</x:v>
      </x:c>
      <x:c r="L299" s="10" t="n">
        <x:f>J299*K299</x:f>
        <x:v>99527.12000000001</x:v>
      </x:c>
      <x:c r="M299" t="n">
        <x:f>G299-F299</x:f>
        <x:v>3</x:v>
      </x:c>
      <x:c r="N299" t="n">
        <x:f>H299-F299</x:f>
        <x:v>5</x:v>
      </x:c>
    </x:row>
    <x:row r="300">
      <x:c r="A300" s="1" t="str">
        <x:v>PO0299</x:v>
      </x:c>
      <x:c r="B300" s="1" t="str">
        <x:v>SUP13</x:v>
      </x:c>
      <x:c r="C300" s="1" t="str">
        <x:v>Guatemala</x:v>
      </x:c>
      <x:c r="D300" s="1" t="str">
        <x:v>Packaging</x:v>
      </x:c>
      <x:c r="E300" s="1" t="str">
        <x:v>Buyer 3</x:v>
      </x:c>
      <x:c r="F300" s="5" t="n">
        <x:v>46257</x:v>
      </x:c>
      <x:c r="G300" s="5" t="n">
        <x:v>46259</x:v>
      </x:c>
      <x:c r="H300" s="5" t="n">
        <x:v>46259</x:v>
      </x:c>
      <x:c r="I300" s="5" t="n">
        <x:v>46277</x:v>
      </x:c>
      <x:c r="J300" s="1" t="n">
        <x:v>3975</x:v>
      </x:c>
      <x:c r="K300" s="6" t="n">
        <x:v>21.83</x:v>
      </x:c>
      <x:c r="L300" s="10" t="n">
        <x:f>J300*K300</x:f>
        <x:v>86774.25</x:v>
      </x:c>
      <x:c r="M300" t="n">
        <x:f>G300-F300</x:f>
        <x:v>2</x:v>
      </x:c>
      <x:c r="N300" t="n">
        <x:f>H300-F300</x:f>
        <x:v>2</x:v>
      </x:c>
    </x:row>
    <x:row r="301">
      <x:c r="A301" s="1" t="str">
        <x:v>PO0300</x:v>
      </x:c>
      <x:c r="B301" s="1" t="str">
        <x:v>SUP03</x:v>
      </x:c>
      <x:c r="C301" s="1" t="str">
        <x:v>Peru</x:v>
      </x:c>
      <x:c r="D301" s="1" t="str">
        <x:v>Maintenance services</x:v>
      </x:c>
      <x:c r="E301" s="1" t="str">
        <x:v>Buyer 4</x:v>
      </x:c>
      <x:c r="F301" s="5" t="n">
        <x:v>46255</x:v>
      </x:c>
      <x:c r="G301" s="5" t="n">
        <x:v>46258</x:v>
      </x:c>
      <x:c r="H301" s="5" t="n">
        <x:v>46259</x:v>
      </x:c>
      <x:c r="I301" s="5" t="n">
        <x:v>46279</x:v>
      </x:c>
      <x:c r="J301" s="1" t="n">
        <x:v>1805</x:v>
      </x:c>
      <x:c r="K301" s="6" t="n">
        <x:v>22.56</x:v>
      </x:c>
      <x:c r="L301" s="10" t="n">
        <x:f>J301*K301</x:f>
        <x:v>40720.799999999996</x:v>
      </x:c>
      <x:c r="M301" t="n">
        <x:f>G301-F301</x:f>
        <x:v>3</x:v>
      </x:c>
      <x:c r="N301" t="n">
        <x:f>H301-F301</x:f>
        <x:v>4</x:v>
      </x:c>
    </x:row>
    <x:row r="302">
      <x:c r="A302" s="1" t="str">
        <x:v>PO0301</x:v>
      </x:c>
      <x:c r="B302" s="1" t="str">
        <x:v>SUP03</x:v>
      </x:c>
      <x:c r="C302" s="1" t="str">
        <x:v>Chile</x:v>
      </x:c>
      <x:c r="D302" s="1" t="str">
        <x:v>Maintenance services</x:v>
      </x:c>
      <x:c r="E302" s="1" t="str">
        <x:v>Buyer 1</x:v>
      </x:c>
      <x:c r="F302" s="5" t="n">
        <x:v>46038</x:v>
      </x:c>
      <x:c r="G302" s="5" t="n">
        <x:v>46043</x:v>
      </x:c>
      <x:c r="H302" s="5" t="n">
        <x:v>46045</x:v>
      </x:c>
      <x:c r="I302" s="5" t="n">
        <x:v>46058</x:v>
      </x:c>
      <x:c r="J302" s="1" t="n">
        <x:v>4166</x:v>
      </x:c>
      <x:c r="K302" s="6" t="n">
        <x:v>18.38</x:v>
      </x:c>
      <x:c r="L302" s="10" t="n">
        <x:f>J302*K302</x:f>
        <x:v>76571.08</x:v>
      </x:c>
      <x:c r="M302" t="n">
        <x:f>G302-F302</x:f>
        <x:v>5</x:v>
      </x:c>
      <x:c r="N302" t="n">
        <x:f>H302-F302</x:f>
        <x:v>7</x:v>
      </x:c>
    </x:row>
    <x:row r="303">
      <x:c r="A303" s="1" t="str">
        <x:v>PO0302</x:v>
      </x:c>
      <x:c r="B303" s="1" t="str">
        <x:v>SUP04</x:v>
      </x:c>
      <x:c r="C303" s="1" t="str">
        <x:v>Panama</x:v>
      </x:c>
      <x:c r="D303" s="1" t="str">
        <x:v>Packaging</x:v>
      </x:c>
      <x:c r="E303" s="1" t="str">
        <x:v>Buyer 2</x:v>
      </x:c>
      <x:c r="F303" s="5" t="n">
        <x:v>46098</x:v>
      </x:c>
      <x:c r="G303" s="5" t="n">
        <x:v>46103</x:v>
      </x:c>
      <x:c r="H303" s="5" t="n">
        <x:v>46105</x:v>
      </x:c>
      <x:c r="I303" s="5" t="n">
        <x:v>46120</x:v>
      </x:c>
      <x:c r="J303" s="1" t="n">
        <x:v>437</x:v>
      </x:c>
      <x:c r="K303" s="6" t="n">
        <x:v>25</x:v>
      </x:c>
      <x:c r="L303" s="10" t="n">
        <x:f>J303*K303</x:f>
        <x:v>10925</x:v>
      </x:c>
      <x:c r="M303" t="n">
        <x:f>G303-F303</x:f>
        <x:v>5</x:v>
      </x:c>
      <x:c r="N303" t="n">
        <x:f>H303-F303</x:f>
        <x:v>7</x:v>
      </x:c>
    </x:row>
    <x:row r="304">
      <x:c r="A304" s="1" t="str">
        <x:v>PO0303</x:v>
      </x:c>
      <x:c r="B304" s="1" t="str">
        <x:v>SUP06</x:v>
      </x:c>
      <x:c r="C304" s="1" t="str">
        <x:v>Mexico</x:v>
      </x:c>
      <x:c r="D304" s="1" t="str">
        <x:v>Maintenance services</x:v>
      </x:c>
      <x:c r="E304" s="1" t="str">
        <x:v>Buyer 3</x:v>
      </x:c>
      <x:c r="F304" s="5" t="n">
        <x:v>46221</x:v>
      </x:c>
      <x:c r="G304" s="5" t="n">
        <x:v>46225</x:v>
      </x:c>
      <x:c r="H304" s="5" t="n">
        <x:v>46227</x:v>
      </x:c>
      <x:c r="I304" s="5" t="n">
        <x:v>46234</x:v>
      </x:c>
      <x:c r="J304" s="1" t="n">
        <x:v>4015</x:v>
      </x:c>
      <x:c r="K304" s="6" t="n">
        <x:v>3.9</x:v>
      </x:c>
      <x:c r="L304" s="10" t="n">
        <x:f>J304*K304</x:f>
        <x:v>15658.5</x:v>
      </x:c>
      <x:c r="M304" t="n">
        <x:f>G304-F304</x:f>
        <x:v>4</x:v>
      </x:c>
      <x:c r="N304" t="n">
        <x:f>H304-F304</x:f>
        <x:v>6</x:v>
      </x:c>
    </x:row>
    <x:row r="305">
      <x:c r="A305" s="1" t="str">
        <x:v>PO0304</x:v>
      </x:c>
      <x:c r="B305" s="1" t="str">
        <x:v>SUP09</x:v>
      </x:c>
      <x:c r="C305" s="1" t="str">
        <x:v>Colombia</x:v>
      </x:c>
      <x:c r="D305" s="1" t="str">
        <x:v>Maintenance services</x:v>
      </x:c>
      <x:c r="E305" s="1" t="str">
        <x:v>Buyer 4</x:v>
      </x:c>
      <x:c r="F305" s="5" t="n">
        <x:v>46044</x:v>
      </x:c>
      <x:c r="G305" s="5" t="n">
        <x:v>46047</x:v>
      </x:c>
      <x:c r="H305" s="5" t="n">
        <x:v>46048</x:v>
      </x:c>
      <x:c r="I305" s="5" t="n">
        <x:v>46061</x:v>
      </x:c>
      <x:c r="J305" s="1" t="n">
        <x:v>1114</x:v>
      </x:c>
      <x:c r="K305" s="6" t="n">
        <x:v>13.15</x:v>
      </x:c>
      <x:c r="L305" s="10" t="n">
        <x:f>J305*K305</x:f>
        <x:v>14649.1</x:v>
      </x:c>
      <x:c r="M305" t="n">
        <x:f>G305-F305</x:f>
        <x:v>3</x:v>
      </x:c>
      <x:c r="N305" t="n">
        <x:f>H305-F305</x:f>
        <x:v>4</x:v>
      </x:c>
    </x:row>
    <x:row r="306">
      <x:c r="A306" s="1" t="str">
        <x:v>PO0305</x:v>
      </x:c>
      <x:c r="B306" s="1" t="str">
        <x:v>SUP05</x:v>
      </x:c>
      <x:c r="C306" s="1" t="str">
        <x:v>Costa Rica</x:v>
      </x:c>
      <x:c r="D306" s="1" t="str">
        <x:v>Ingredients</x:v>
      </x:c>
      <x:c r="E306" s="1" t="str">
        <x:v>Buyer 1</x:v>
      </x:c>
      <x:c r="F306" s="5" t="n">
        <x:v>46167</x:v>
      </x:c>
      <x:c r="G306" s="5" t="n">
        <x:v>46168</x:v>
      </x:c>
      <x:c r="H306" s="5" t="n">
        <x:v>46169</x:v>
      </x:c>
      <x:c r="I306" s="5" t="n">
        <x:v>46183</x:v>
      </x:c>
      <x:c r="J306" s="1" t="n">
        <x:v>1744</x:v>
      </x:c>
      <x:c r="K306" s="6" t="n">
        <x:v>15.47</x:v>
      </x:c>
      <x:c r="L306" s="10" t="n">
        <x:f>J306*K306</x:f>
        <x:v>26979.68</x:v>
      </x:c>
      <x:c r="M306" t="n">
        <x:f>G306-F306</x:f>
        <x:v>1</x:v>
      </x:c>
      <x:c r="N306" t="n">
        <x:f>H306-F306</x:f>
        <x:v>2</x:v>
      </x:c>
    </x:row>
    <x:row r="307">
      <x:c r="A307" s="1" t="str">
        <x:v>PO0306</x:v>
      </x:c>
      <x:c r="B307" s="1" t="str">
        <x:v>SUP07</x:v>
      </x:c>
      <x:c r="C307" s="1" t="str">
        <x:v>Guatemala</x:v>
      </x:c>
      <x:c r="D307" s="1" t="str">
        <x:v>Packaging</x:v>
      </x:c>
      <x:c r="E307" s="1" t="str">
        <x:v>Buyer 2</x:v>
      </x:c>
      <x:c r="F307" s="5" t="n">
        <x:v>46196</x:v>
      </x:c>
      <x:c r="G307" s="5" t="n">
        <x:v>46199</x:v>
      </x:c>
      <x:c r="H307" s="5" t="n">
        <x:v>46200</x:v>
      </x:c>
      <x:c r="I307" s="5" t="n">
        <x:v>46213</x:v>
      </x:c>
      <x:c r="J307" s="1" t="n">
        <x:v>751</x:v>
      </x:c>
      <x:c r="K307" s="6" t="n">
        <x:v>1.75</x:v>
      </x:c>
      <x:c r="L307" s="10" t="n">
        <x:f>J307*K307</x:f>
        <x:v>1314.25</x:v>
      </x:c>
      <x:c r="M307" t="n">
        <x:f>G307-F307</x:f>
        <x:v>3</x:v>
      </x:c>
      <x:c r="N307" t="n">
        <x:f>H307-F307</x:f>
        <x:v>4</x:v>
      </x:c>
    </x:row>
    <x:row r="308">
      <x:c r="A308" s="1" t="str">
        <x:v>PO0307</x:v>
      </x:c>
      <x:c r="B308" s="1" t="str">
        <x:v>SUP01</x:v>
      </x:c>
      <x:c r="C308" s="1" t="str">
        <x:v>Peru</x:v>
      </x:c>
      <x:c r="D308" s="1" t="str">
        <x:v>Packaging</x:v>
      </x:c>
      <x:c r="E308" s="1" t="str">
        <x:v>Buyer 3</x:v>
      </x:c>
      <x:c r="F308" s="5" t="n">
        <x:v>46028</x:v>
      </x:c>
      <x:c r="G308" s="5" t="n">
        <x:v>46031</x:v>
      </x:c>
      <x:c r="H308" s="5" t="n">
        <x:v>46032</x:v>
      </x:c>
      <x:c r="I308" s="5" t="n">
        <x:v>46045</x:v>
      </x:c>
      <x:c r="J308" s="1" t="n">
        <x:v>2091</x:v>
      </x:c>
      <x:c r="K308" s="6" t="n">
        <x:v>6.86</x:v>
      </x:c>
      <x:c r="L308" s="10" t="n">
        <x:f>J308*K308</x:f>
        <x:v>14344.26</x:v>
      </x:c>
      <x:c r="M308" t="n">
        <x:f>G308-F308</x:f>
        <x:v>3</x:v>
      </x:c>
      <x:c r="N308" t="n">
        <x:f>H308-F308</x:f>
        <x:v>4</x:v>
      </x:c>
    </x:row>
    <x:row r="309">
      <x:c r="A309" s="1" t="str">
        <x:v>PO0308</x:v>
      </x:c>
      <x:c r="B309" s="1" t="str">
        <x:v>SUP12</x:v>
      </x:c>
      <x:c r="C309" s="1" t="str">
        <x:v>Chile</x:v>
      </x:c>
      <x:c r="D309" s="1" t="str">
        <x:v>Maintenance services</x:v>
      </x:c>
      <x:c r="E309" s="1" t="str">
        <x:v>Buyer 4</x:v>
      </x:c>
      <x:c r="F309" s="5" t="n">
        <x:v>46217</x:v>
      </x:c>
      <x:c r="G309" s="5" t="n">
        <x:v>46222</x:v>
      </x:c>
      <x:c r="H309" s="5" t="n">
        <x:v>46224</x:v>
      </x:c>
      <x:c r="I309" s="5" t="n">
        <x:v>46232</x:v>
      </x:c>
      <x:c r="J309" s="1" t="n">
        <x:v>1592</x:v>
      </x:c>
      <x:c r="K309" s="6" t="n">
        <x:v>15.62</x:v>
      </x:c>
      <x:c r="L309" s="10" t="n">
        <x:f>J309*K309</x:f>
        <x:v>24867.039999999997</x:v>
      </x:c>
      <x:c r="M309" t="n">
        <x:f>G309-F309</x:f>
        <x:v>5</x:v>
      </x:c>
      <x:c r="N309" t="n">
        <x:f>H309-F309</x:f>
        <x:v>7</x:v>
      </x:c>
    </x:row>
    <x:row r="310">
      <x:c r="A310" s="1" t="str">
        <x:v>PO0309</x:v>
      </x:c>
      <x:c r="B310" s="1" t="str">
        <x:v>SUP04</x:v>
      </x:c>
      <x:c r="C310" s="1" t="str">
        <x:v>Panama</x:v>
      </x:c>
      <x:c r="D310" s="1" t="str">
        <x:v>Packaging</x:v>
      </x:c>
      <x:c r="E310" s="1" t="str">
        <x:v>Buyer 1</x:v>
      </x:c>
      <x:c r="F310" s="5" t="n">
        <x:v>46133</x:v>
      </x:c>
      <x:c r="G310" s="5" t="n">
        <x:v>46137</x:v>
      </x:c>
      <x:c r="H310" s="5" t="n">
        <x:v>46137</x:v>
      </x:c>
      <x:c r="I310" s="5" t="n">
        <x:v>46160</x:v>
      </x:c>
      <x:c r="J310" s="1" t="n">
        <x:v>1150</x:v>
      </x:c>
      <x:c r="K310" s="6" t="n">
        <x:v>20.36</x:v>
      </x:c>
      <x:c r="L310" s="10" t="n">
        <x:f>J310*K310</x:f>
        <x:v>23414</x:v>
      </x:c>
      <x:c r="M310" t="n">
        <x:f>G310-F310</x:f>
        <x:v>4</x:v>
      </x:c>
      <x:c r="N310" t="n">
        <x:f>H310-F310</x:f>
        <x:v>4</x:v>
      </x:c>
    </x:row>
    <x:row r="311">
      <x:c r="A311" s="1" t="str">
        <x:v>PO0310</x:v>
      </x:c>
      <x:c r="B311" s="1" t="str">
        <x:v>SUP05</x:v>
      </x:c>
      <x:c r="C311" s="1" t="str">
        <x:v>Mexico</x:v>
      </x:c>
      <x:c r="D311" s="1" t="str">
        <x:v>Ingredients</x:v>
      </x:c>
      <x:c r="E311" s="1" t="str">
        <x:v>Buyer 2</x:v>
      </x:c>
      <x:c r="F311" s="5" t="n">
        <x:v>46275</x:v>
      </x:c>
      <x:c r="G311" s="5" t="n">
        <x:v>46277</x:v>
      </x:c>
      <x:c r="H311" s="5" t="n">
        <x:v>46278</x:v>
      </x:c>
      <x:c r="I311" s="5" t="n">
        <x:v>46292</x:v>
      </x:c>
      <x:c r="J311" s="1" t="n">
        <x:v>1640</x:v>
      </x:c>
      <x:c r="K311" s="6" t="n">
        <x:v>21.24</x:v>
      </x:c>
      <x:c r="L311" s="10" t="n">
        <x:f>J311*K311</x:f>
        <x:v>34833.6</x:v>
      </x:c>
      <x:c r="M311" t="n">
        <x:f>G311-F311</x:f>
        <x:v>2</x:v>
      </x:c>
      <x:c r="N311" t="n">
        <x:f>H311-F311</x:f>
        <x:v>3</x:v>
      </x:c>
    </x:row>
    <x:row r="312">
      <x:c r="A312" s="1" t="str">
        <x:v>PO0311</x:v>
      </x:c>
      <x:c r="B312" s="1" t="str">
        <x:v>SUP11</x:v>
      </x:c>
      <x:c r="C312" s="1" t="str">
        <x:v>Colombia</x:v>
      </x:c>
      <x:c r="D312" s="1" t="str">
        <x:v>Ingredients</x:v>
      </x:c>
      <x:c r="E312" s="1" t="str">
        <x:v>Buyer 3</x:v>
      </x:c>
      <x:c r="F312" s="5" t="n">
        <x:v>46248</x:v>
      </x:c>
      <x:c r="G312" s="5" t="n">
        <x:v>46250</x:v>
      </x:c>
      <x:c r="H312" s="5" t="n">
        <x:v>46251</x:v>
      </x:c>
      <x:c r="I312" s="5" t="n">
        <x:v>46276</x:v>
      </x:c>
      <x:c r="J312" s="1" t="n">
        <x:v>4503</x:v>
      </x:c>
      <x:c r="K312" s="6" t="n">
        <x:v>3.38</x:v>
      </x:c>
      <x:c r="L312" s="10" t="n">
        <x:f>J312*K312</x:f>
        <x:v>15220.14</x:v>
      </x:c>
      <x:c r="M312" t="n">
        <x:f>G312-F312</x:f>
        <x:v>2</x:v>
      </x:c>
      <x:c r="N312" t="n">
        <x:f>H312-F312</x:f>
        <x:v>3</x:v>
      </x:c>
    </x:row>
    <x:row r="313">
      <x:c r="A313" s="1" t="str">
        <x:v>PO0312</x:v>
      </x:c>
      <x:c r="B313" s="1" t="str">
        <x:v>SUP14</x:v>
      </x:c>
      <x:c r="C313" s="1" t="str">
        <x:v>Costa Rica</x:v>
      </x:c>
      <x:c r="D313" s="1" t="str">
        <x:v>Ingredients</x:v>
      </x:c>
      <x:c r="E313" s="1" t="str">
        <x:v>Buyer 4</x:v>
      </x:c>
      <x:c r="F313" s="5" t="n">
        <x:v>46157</x:v>
      </x:c>
      <x:c r="G313" s="5" t="n">
        <x:v>46158</x:v>
      </x:c>
      <x:c r="H313" s="5" t="n">
        <x:v>46158</x:v>
      </x:c>
      <x:c r="I313" s="5" t="n">
        <x:v>46178</x:v>
      </x:c>
      <x:c r="J313" s="1" t="n">
        <x:v>4243</x:v>
      </x:c>
      <x:c r="K313" s="6" t="n">
        <x:v>24.63</x:v>
      </x:c>
      <x:c r="L313" s="10" t="n">
        <x:f>J313*K313</x:f>
        <x:v>104505.09</x:v>
      </x:c>
      <x:c r="M313" t="n">
        <x:f>G313-F313</x:f>
        <x:v>1</x:v>
      </x:c>
      <x:c r="N313" t="n">
        <x:f>H313-F313</x:f>
        <x:v>1</x:v>
      </x:c>
    </x:row>
    <x:row r="314">
      <x:c r="A314" s="1" t="str">
        <x:v>PO0313</x:v>
      </x:c>
      <x:c r="B314" s="1" t="str">
        <x:v>SUP12</x:v>
      </x:c>
      <x:c r="C314" s="1" t="str">
        <x:v>Guatemala</x:v>
      </x:c>
      <x:c r="D314" s="1" t="str">
        <x:v>Maintenance services</x:v>
      </x:c>
      <x:c r="E314" s="1" t="str">
        <x:v>Buyer 1</x:v>
      </x:c>
      <x:c r="F314" s="5" t="n">
        <x:v>46258</x:v>
      </x:c>
      <x:c r="G314" s="5" t="n">
        <x:v>46263</x:v>
      </x:c>
      <x:c r="H314" s="5" t="n">
        <x:v>46265</x:v>
      </x:c>
      <x:c r="I314" s="5" t="n">
        <x:v>46286</x:v>
      </x:c>
      <x:c r="J314" s="1" t="n">
        <x:v>1852</x:v>
      </x:c>
      <x:c r="K314" s="6" t="n">
        <x:v>7.52</x:v>
      </x:c>
      <x:c r="L314" s="10" t="n">
        <x:f>J314*K314</x:f>
        <x:v>13927.039999999999</x:v>
      </x:c>
      <x:c r="M314" t="n">
        <x:f>G314-F314</x:f>
        <x:v>5</x:v>
      </x:c>
      <x:c r="N314" t="n">
        <x:f>H314-F314</x:f>
        <x:v>7</x:v>
      </x:c>
    </x:row>
    <x:row r="315">
      <x:c r="A315" s="1" t="str">
        <x:v>PO0314</x:v>
      </x:c>
      <x:c r="B315" s="1" t="str">
        <x:v>SUP13</x:v>
      </x:c>
      <x:c r="C315" s="1" t="str">
        <x:v>Peru</x:v>
      </x:c>
      <x:c r="D315" s="1" t="str">
        <x:v>Packaging</x:v>
      </x:c>
      <x:c r="E315" s="1" t="str">
        <x:v>Buyer 2</x:v>
      </x:c>
      <x:c r="F315" s="5" t="n">
        <x:v>46184</x:v>
      </x:c>
      <x:c r="G315" s="5" t="n">
        <x:v>46186</x:v>
      </x:c>
      <x:c r="H315" s="5" t="n">
        <x:v>46188</x:v>
      </x:c>
      <x:c r="I315" s="5" t="n">
        <x:v>46199</x:v>
      </x:c>
      <x:c r="J315" s="1" t="n">
        <x:v>764</x:v>
      </x:c>
      <x:c r="K315" s="6" t="n">
        <x:v>6.79</x:v>
      </x:c>
      <x:c r="L315" s="10" t="n">
        <x:f>J315*K315</x:f>
        <x:v>5187.56</x:v>
      </x:c>
      <x:c r="M315" t="n">
        <x:f>G315-F315</x:f>
        <x:v>2</x:v>
      </x:c>
      <x:c r="N315" t="n">
        <x:f>H315-F315</x:f>
        <x:v>4</x:v>
      </x:c>
    </x:row>
    <x:row r="316">
      <x:c r="A316" s="1" t="str">
        <x:v>PO0315</x:v>
      </x:c>
      <x:c r="B316" s="1" t="str">
        <x:v>SUP11</x:v>
      </x:c>
      <x:c r="C316" s="1" t="str">
        <x:v>Chile</x:v>
      </x:c>
      <x:c r="D316" s="1" t="str">
        <x:v>Ingredients</x:v>
      </x:c>
      <x:c r="E316" s="1" t="str">
        <x:v>Buyer 3</x:v>
      </x:c>
      <x:c r="F316" s="5" t="n">
        <x:v>46202</x:v>
      </x:c>
      <x:c r="G316" s="5" t="n">
        <x:v>46207</x:v>
      </x:c>
      <x:c r="H316" s="5" t="n">
        <x:v>46208</x:v>
      </x:c>
      <x:c r="I316" s="5" t="n">
        <x:v>46227</x:v>
      </x:c>
      <x:c r="J316" s="1" t="n">
        <x:v>1373</x:v>
      </x:c>
      <x:c r="K316" s="6" t="n">
        <x:v>12.79</x:v>
      </x:c>
      <x:c r="L316" s="10" t="n">
        <x:f>J316*K316</x:f>
        <x:v>17560.67</x:v>
      </x:c>
      <x:c r="M316" t="n">
        <x:f>G316-F316</x:f>
        <x:v>5</x:v>
      </x:c>
      <x:c r="N316" t="n">
        <x:f>H316-F316</x:f>
        <x:v>6</x:v>
      </x:c>
    </x:row>
    <x:row r="317">
      <x:c r="A317" s="1" t="str">
        <x:v>PO0316</x:v>
      </x:c>
      <x:c r="B317" s="1" t="str">
        <x:v>SUP11</x:v>
      </x:c>
      <x:c r="C317" s="1" t="str">
        <x:v>Panama</x:v>
      </x:c>
      <x:c r="D317" s="1" t="str">
        <x:v>Ingredients</x:v>
      </x:c>
      <x:c r="E317" s="1" t="str">
        <x:v>Buyer 4</x:v>
      </x:c>
      <x:c r="F317" s="5" t="n">
        <x:v>46146</x:v>
      </x:c>
      <x:c r="G317" s="5" t="n">
        <x:v>46150</x:v>
      </x:c>
      <x:c r="H317" s="5" t="n">
        <x:v>46151</x:v>
      </x:c>
      <x:c r="I317" s="5" t="n">
        <x:v>46160</x:v>
      </x:c>
      <x:c r="J317" s="1" t="n">
        <x:v>4833</x:v>
      </x:c>
      <x:c r="K317" s="6" t="n">
        <x:v>6.14</x:v>
      </x:c>
      <x:c r="L317" s="10" t="n">
        <x:f>J317*K317</x:f>
        <x:v>29674.62</x:v>
      </x:c>
      <x:c r="M317" t="n">
        <x:f>G317-F317</x:f>
        <x:v>4</x:v>
      </x:c>
      <x:c r="N317" t="n">
        <x:f>H317-F317</x:f>
        <x:v>5</x:v>
      </x:c>
    </x:row>
    <x:row r="318">
      <x:c r="A318" s="1" t="str">
        <x:v>PO0317</x:v>
      </x:c>
      <x:c r="B318" s="1" t="str">
        <x:v>SUP06</x:v>
      </x:c>
      <x:c r="C318" s="1" t="str">
        <x:v>Mexico</x:v>
      </x:c>
      <x:c r="D318" s="1" t="str">
        <x:v>Maintenance services</x:v>
      </x:c>
      <x:c r="E318" s="1" t="str">
        <x:v>Buyer 1</x:v>
      </x:c>
      <x:c r="F318" s="5" t="n">
        <x:v>46104</x:v>
      </x:c>
      <x:c r="G318" s="5" t="n">
        <x:v>46108</x:v>
      </x:c>
      <x:c r="H318" s="5" t="n">
        <x:v>46109</x:v>
      </x:c>
      <x:c r="I318" s="5" t="n">
        <x:v>46128</x:v>
      </x:c>
      <x:c r="J318" s="1" t="n">
        <x:v>335</x:v>
      </x:c>
      <x:c r="K318" s="6" t="n">
        <x:v>19.88</x:v>
      </x:c>
      <x:c r="L318" s="10" t="n">
        <x:f>J318*K318</x:f>
        <x:v>6659.799999999999</x:v>
      </x:c>
      <x:c r="M318" t="n">
        <x:f>G318-F318</x:f>
        <x:v>4</x:v>
      </x:c>
      <x:c r="N318" t="n">
        <x:f>H318-F318</x:f>
        <x:v>5</x:v>
      </x:c>
    </x:row>
    <x:row r="319">
      <x:c r="A319" s="1" t="str">
        <x:v>PO0318</x:v>
      </x:c>
      <x:c r="B319" s="1" t="str">
        <x:v>SUP05</x:v>
      </x:c>
      <x:c r="C319" s="1" t="str">
        <x:v>Colombia</x:v>
      </x:c>
      <x:c r="D319" s="1" t="str">
        <x:v>Ingredients</x:v>
      </x:c>
      <x:c r="E319" s="1" t="str">
        <x:v>Buyer 2</x:v>
      </x:c>
      <x:c r="F319" s="5" t="n">
        <x:v>46126</x:v>
      </x:c>
      <x:c r="G319" s="5" t="n">
        <x:v>46127</x:v>
      </x:c>
      <x:c r="H319" s="5" t="n">
        <x:v>46128</x:v>
      </x:c>
      <x:c r="I319" s="5" t="n">
        <x:v>46152</x:v>
      </x:c>
      <x:c r="J319" s="1" t="n">
        <x:v>2423</x:v>
      </x:c>
      <x:c r="K319" s="6" t="n">
        <x:v>20.09</x:v>
      </x:c>
      <x:c r="L319" s="10" t="n">
        <x:f>J319*K319</x:f>
        <x:v>48678.07</x:v>
      </x:c>
      <x:c r="M319" t="n">
        <x:f>G319-F319</x:f>
        <x:v>1</x:v>
      </x:c>
      <x:c r="N319" t="n">
        <x:f>H319-F319</x:f>
        <x:v>2</x:v>
      </x:c>
    </x:row>
    <x:row r="320">
      <x:c r="A320" s="1" t="str">
        <x:v>PO0319</x:v>
      </x:c>
      <x:c r="B320" s="1" t="str">
        <x:v>SUP07</x:v>
      </x:c>
      <x:c r="C320" s="1" t="str">
        <x:v>Costa Rica</x:v>
      </x:c>
      <x:c r="D320" s="1" t="str">
        <x:v>Packaging</x:v>
      </x:c>
      <x:c r="E320" s="1" t="str">
        <x:v>Buyer 3</x:v>
      </x:c>
      <x:c r="F320" s="5" t="n">
        <x:v>46199</x:v>
      </x:c>
      <x:c r="G320" s="5" t="n">
        <x:v>46204</x:v>
      </x:c>
      <x:c r="H320" s="5" t="n">
        <x:v>46205</x:v>
      </x:c>
      <x:c r="I320" s="5" t="n">
        <x:v>46223</x:v>
      </x:c>
      <x:c r="J320" s="1" t="n">
        <x:v>4934</x:v>
      </x:c>
      <x:c r="K320" s="6" t="n">
        <x:v>11.03</x:v>
      </x:c>
      <x:c r="L320" s="10" t="n">
        <x:f>J320*K320</x:f>
        <x:v>54422.02</x:v>
      </x:c>
      <x:c r="M320" t="n">
        <x:f>G320-F320</x:f>
        <x:v>5</x:v>
      </x:c>
      <x:c r="N320" t="n">
        <x:f>H320-F320</x:f>
        <x:v>6</x:v>
      </x:c>
    </x:row>
    <x:row r="321">
      <x:c r="A321" s="1" t="str">
        <x:v>PO0320</x:v>
      </x:c>
      <x:c r="B321" s="1" t="str">
        <x:v>SUP04</x:v>
      </x:c>
      <x:c r="C321" s="1" t="str">
        <x:v>Guatemala</x:v>
      </x:c>
      <x:c r="D321" s="1" t="str">
        <x:v>Packaging</x:v>
      </x:c>
      <x:c r="E321" s="1" t="str">
        <x:v>Buyer 4</x:v>
      </x:c>
      <x:c r="F321" s="5" t="n">
        <x:v>46266</x:v>
      </x:c>
      <x:c r="G321" s="5" t="n">
        <x:v>46269</x:v>
      </x:c>
      <x:c r="H321" s="5" t="n">
        <x:v>46269</x:v>
      </x:c>
      <x:c r="I321" s="5" t="n">
        <x:v>46291</x:v>
      </x:c>
      <x:c r="J321" s="1" t="n">
        <x:v>523</x:v>
      </x:c>
      <x:c r="K321" s="6" t="n">
        <x:v>7.18</x:v>
      </x:c>
      <x:c r="L321" s="10" t="n">
        <x:f>J321*K321</x:f>
        <x:v>3755.14</x:v>
      </x:c>
      <x:c r="M321" t="n">
        <x:f>G321-F321</x:f>
        <x:v>3</x:v>
      </x:c>
      <x:c r="N321" t="n">
        <x:f>H321-F321</x:f>
        <x:v>3</x:v>
      </x:c>
    </x:row>
    <x:row r="322">
      <x:c r="A322" s="1" t="str">
        <x:v>PO0321</x:v>
      </x:c>
      <x:c r="B322" s="1" t="str">
        <x:v>SUP02</x:v>
      </x:c>
      <x:c r="C322" s="1" t="str">
        <x:v>Peru</x:v>
      </x:c>
      <x:c r="D322" s="1" t="str">
        <x:v>Ingredients</x:v>
      </x:c>
      <x:c r="E322" s="1" t="str">
        <x:v>Buyer 1</x:v>
      </x:c>
      <x:c r="F322" s="5" t="n">
        <x:v>46041</x:v>
      </x:c>
      <x:c r="G322" s="5" t="n">
        <x:v>46044</x:v>
      </x:c>
      <x:c r="H322" s="5" t="n">
        <x:v>46044</x:v>
      </x:c>
      <x:c r="I322" s="5" t="n">
        <x:v>46066</x:v>
      </x:c>
      <x:c r="J322" s="1" t="n">
        <x:v>4264</x:v>
      </x:c>
      <x:c r="K322" s="6" t="n">
        <x:v>19.18</x:v>
      </x:c>
      <x:c r="L322" s="10" t="n">
        <x:f>J322*K322</x:f>
        <x:v>81783.52</x:v>
      </x:c>
      <x:c r="M322" t="n">
        <x:f>G322-F322</x:f>
        <x:v>3</x:v>
      </x:c>
      <x:c r="N322" t="n">
        <x:f>H322-F322</x:f>
        <x:v>3</x:v>
      </x:c>
    </x:row>
    <x:row r="323">
      <x:c r="A323" s="1" t="str">
        <x:v>PO0322</x:v>
      </x:c>
      <x:c r="B323" s="1" t="str">
        <x:v>SUP01</x:v>
      </x:c>
      <x:c r="C323" s="1" t="str">
        <x:v>Chile</x:v>
      </x:c>
      <x:c r="D323" s="1" t="str">
        <x:v>Packaging</x:v>
      </x:c>
      <x:c r="E323" s="1" t="str">
        <x:v>Buyer 2</x:v>
      </x:c>
      <x:c r="F323" s="5" t="n">
        <x:v>46038</x:v>
      </x:c>
      <x:c r="G323" s="5" t="n">
        <x:v>46039</x:v>
      </x:c>
      <x:c r="H323" s="5" t="n">
        <x:v>46041</x:v>
      </x:c>
      <x:c r="I323" s="5" t="n">
        <x:v>46052</x:v>
      </x:c>
      <x:c r="J323" s="1" t="n">
        <x:v>4814</x:v>
      </x:c>
      <x:c r="K323" s="6" t="n">
        <x:v>24.63</x:v>
      </x:c>
      <x:c r="L323" s="10" t="n">
        <x:f>J323*K323</x:f>
        <x:v>118568.81999999999</x:v>
      </x:c>
      <x:c r="M323" t="n">
        <x:f>G323-F323</x:f>
        <x:v>1</x:v>
      </x:c>
      <x:c r="N323" t="n">
        <x:f>H323-F323</x:f>
        <x:v>3</x:v>
      </x:c>
    </x:row>
    <x:row r="324">
      <x:c r="A324" s="1" t="str">
        <x:v>PO0323</x:v>
      </x:c>
      <x:c r="B324" s="1" t="str">
        <x:v>SUP09</x:v>
      </x:c>
      <x:c r="C324" s="1" t="str">
        <x:v>Panama</x:v>
      </x:c>
      <x:c r="D324" s="1" t="str">
        <x:v>Maintenance services</x:v>
      </x:c>
      <x:c r="E324" s="1" t="str">
        <x:v>Buyer 3</x:v>
      </x:c>
      <x:c r="F324" s="5" t="n">
        <x:v>46127</x:v>
      </x:c>
      <x:c r="G324" s="5" t="n">
        <x:v>46129</x:v>
      </x:c>
      <x:c r="H324" s="5" t="n">
        <x:v>46130</x:v>
      </x:c>
      <x:c r="I324" s="5" t="n">
        <x:v>46146</x:v>
      </x:c>
      <x:c r="J324" s="1" t="n">
        <x:v>4634</x:v>
      </x:c>
      <x:c r="K324" s="6" t="n">
        <x:v>11.22</x:v>
      </x:c>
      <x:c r="L324" s="10" t="n">
        <x:f>J324*K324</x:f>
        <x:v>51993.48</x:v>
      </x:c>
      <x:c r="M324" t="n">
        <x:f>G324-F324</x:f>
        <x:v>2</x:v>
      </x:c>
      <x:c r="N324" t="n">
        <x:f>H324-F324</x:f>
        <x:v>3</x:v>
      </x:c>
    </x:row>
    <x:row r="325">
      <x:c r="A325" s="1" t="str">
        <x:v>PO0324</x:v>
      </x:c>
      <x:c r="B325" s="1" t="str">
        <x:v>SUP12</x:v>
      </x:c>
      <x:c r="C325" s="1" t="str">
        <x:v>Mexico</x:v>
      </x:c>
      <x:c r="D325" s="1" t="str">
        <x:v>Maintenance services</x:v>
      </x:c>
      <x:c r="E325" s="1" t="str">
        <x:v>Buyer 4</x:v>
      </x:c>
      <x:c r="F325" s="5" t="n">
        <x:v>46109</x:v>
      </x:c>
      <x:c r="G325" s="5" t="n">
        <x:v>46113</x:v>
      </x:c>
      <x:c r="H325" s="5" t="n">
        <x:v>46114</x:v>
      </x:c>
      <x:c r="I325" s="5" t="n">
        <x:v>46129</x:v>
      </x:c>
      <x:c r="J325" s="1" t="n">
        <x:v>808</x:v>
      </x:c>
      <x:c r="K325" s="6" t="n">
        <x:v>11.21</x:v>
      </x:c>
      <x:c r="L325" s="10" t="n">
        <x:f>J325*K325</x:f>
        <x:v>9057.68</x:v>
      </x:c>
      <x:c r="M325" t="n">
        <x:f>G325-F325</x:f>
        <x:v>4</x:v>
      </x:c>
      <x:c r="N325" t="n">
        <x:f>H325-F325</x:f>
        <x:v>5</x:v>
      </x:c>
    </x:row>
    <x:row r="326">
      <x:c r="A326" s="1" t="str">
        <x:v>PO0325</x:v>
      </x:c>
      <x:c r="B326" s="1" t="str">
        <x:v>SUP13</x:v>
      </x:c>
      <x:c r="C326" s="1" t="str">
        <x:v>Colombia</x:v>
      </x:c>
      <x:c r="D326" s="1" t="str">
        <x:v>Packaging</x:v>
      </x:c>
      <x:c r="E326" s="1" t="str">
        <x:v>Buyer 1</x:v>
      </x:c>
      <x:c r="F326" s="5" t="n">
        <x:v>46203</x:v>
      </x:c>
      <x:c r="G326" s="5" t="n">
        <x:v>46207</x:v>
      </x:c>
      <x:c r="H326" s="5" t="n">
        <x:v>46207</x:v>
      </x:c>
      <x:c r="I326" s="5" t="n">
        <x:v>46216</x:v>
      </x:c>
      <x:c r="J326" s="1" t="n">
        <x:v>569</x:v>
      </x:c>
      <x:c r="K326" s="6" t="n">
        <x:v>11.28</x:v>
      </x:c>
      <x:c r="L326" s="10" t="n">
        <x:f>J326*K326</x:f>
        <x:v>6418.32</x:v>
      </x:c>
      <x:c r="M326" t="n">
        <x:f>G326-F326</x:f>
        <x:v>4</x:v>
      </x:c>
      <x:c r="N326" t="n">
        <x:f>H326-F326</x:f>
        <x:v>4</x:v>
      </x:c>
    </x:row>
    <x:row r="327">
      <x:c r="A327" s="1" t="str">
        <x:v>PO0326</x:v>
      </x:c>
      <x:c r="B327" s="1" t="str">
        <x:v>SUP11</x:v>
      </x:c>
      <x:c r="C327" s="1" t="str">
        <x:v>Costa Rica</x:v>
      </x:c>
      <x:c r="D327" s="1" t="str">
        <x:v>Ingredients</x:v>
      </x:c>
      <x:c r="E327" s="1" t="str">
        <x:v>Buyer 2</x:v>
      </x:c>
      <x:c r="F327" s="5" t="n">
        <x:v>46249</x:v>
      </x:c>
      <x:c r="G327" s="5" t="n">
        <x:v>46252</x:v>
      </x:c>
      <x:c r="H327" s="5" t="n">
        <x:v>46252</x:v>
      </x:c>
      <x:c r="I327" s="5" t="n">
        <x:v>46274</x:v>
      </x:c>
      <x:c r="J327" s="1" t="n">
        <x:v>1102</x:v>
      </x:c>
      <x:c r="K327" s="6" t="n">
        <x:v>15.5</x:v>
      </x:c>
      <x:c r="L327" s="10" t="n">
        <x:f>J327*K327</x:f>
        <x:v>17081</x:v>
      </x:c>
      <x:c r="M327" t="n">
        <x:f>G327-F327</x:f>
        <x:v>3</x:v>
      </x:c>
      <x:c r="N327" t="n">
        <x:f>H327-F327</x:f>
        <x:v>3</x:v>
      </x:c>
    </x:row>
    <x:row r="328">
      <x:c r="A328" s="1" t="str">
        <x:v>PO0327</x:v>
      </x:c>
      <x:c r="B328" s="1" t="str">
        <x:v>SUP10</x:v>
      </x:c>
      <x:c r="C328" s="1" t="str">
        <x:v>Guatemala</x:v>
      </x:c>
      <x:c r="D328" s="1" t="str">
        <x:v>Packaging</x:v>
      </x:c>
      <x:c r="E328" s="1" t="str">
        <x:v>Buyer 3</x:v>
      </x:c>
      <x:c r="F328" s="5" t="n">
        <x:v>46066</x:v>
      </x:c>
      <x:c r="G328" s="5" t="n">
        <x:v>46067</x:v>
      </x:c>
      <x:c r="H328" s="5" t="n">
        <x:v>46069</x:v>
      </x:c>
      <x:c r="I328" s="5" t="n">
        <x:v>46088</x:v>
      </x:c>
      <x:c r="J328" s="1" t="n">
        <x:v>1757</x:v>
      </x:c>
      <x:c r="K328" s="6" t="n">
        <x:v>8.36</x:v>
      </x:c>
      <x:c r="L328" s="10" t="n">
        <x:f>J328*K328</x:f>
        <x:v>14688.519999999999</x:v>
      </x:c>
      <x:c r="M328" t="n">
        <x:f>G328-F328</x:f>
        <x:v>1</x:v>
      </x:c>
      <x:c r="N328" t="n">
        <x:f>H328-F328</x:f>
        <x:v>3</x:v>
      </x:c>
    </x:row>
    <x:row r="329">
      <x:c r="A329" s="1" t="str">
        <x:v>PO0328</x:v>
      </x:c>
      <x:c r="B329" s="1" t="str">
        <x:v>SUP05</x:v>
      </x:c>
      <x:c r="C329" s="1" t="str">
        <x:v>Peru</x:v>
      </x:c>
      <x:c r="D329" s="1" t="str">
        <x:v>Ingredients</x:v>
      </x:c>
      <x:c r="E329" s="1" t="str">
        <x:v>Buyer 4</x:v>
      </x:c>
      <x:c r="F329" s="5" t="n">
        <x:v>46185</x:v>
      </x:c>
      <x:c r="G329" s="5" t="n">
        <x:v>46188</x:v>
      </x:c>
      <x:c r="H329" s="5" t="n">
        <x:v>46189</x:v>
      </x:c>
      <x:c r="I329" s="5" t="n">
        <x:v>46198</x:v>
      </x:c>
      <x:c r="J329" s="1" t="n">
        <x:v>2648</x:v>
      </x:c>
      <x:c r="K329" s="6" t="n">
        <x:v>23.99</x:v>
      </x:c>
      <x:c r="L329" s="10" t="n">
        <x:f>J329*K329</x:f>
        <x:v>63525.52</x:v>
      </x:c>
      <x:c r="M329" t="n">
        <x:f>G329-F329</x:f>
        <x:v>3</x:v>
      </x:c>
      <x:c r="N329" t="n">
        <x:f>H329-F329</x:f>
        <x:v>4</x:v>
      </x:c>
    </x:row>
    <x:row r="330">
      <x:c r="A330" s="1" t="str">
        <x:v>PO0329</x:v>
      </x:c>
      <x:c r="B330" s="1" t="str">
        <x:v>SUP04</x:v>
      </x:c>
      <x:c r="C330" s="1" t="str">
        <x:v>Chile</x:v>
      </x:c>
      <x:c r="D330" s="1" t="str">
        <x:v>Packaging</x:v>
      </x:c>
      <x:c r="E330" s="1" t="str">
        <x:v>Buyer 1</x:v>
      </x:c>
      <x:c r="F330" s="5" t="n">
        <x:v>46053</x:v>
      </x:c>
      <x:c r="G330" s="5" t="n">
        <x:v>46057</x:v>
      </x:c>
      <x:c r="H330" s="5" t="n">
        <x:v>46058</x:v>
      </x:c>
      <x:c r="I330" s="5" t="n">
        <x:v>46066</x:v>
      </x:c>
      <x:c r="J330" s="1" t="n">
        <x:v>1987</x:v>
      </x:c>
      <x:c r="K330" s="6" t="n">
        <x:v>23.96</x:v>
      </x:c>
      <x:c r="L330" s="10" t="n">
        <x:f>J330*K330</x:f>
        <x:v>47608.520000000004</x:v>
      </x:c>
      <x:c r="M330" t="n">
        <x:f>G330-F330</x:f>
        <x:v>4</x:v>
      </x:c>
      <x:c r="N330" t="n">
        <x:f>H330-F330</x:f>
        <x:v>5</x:v>
      </x:c>
    </x:row>
    <x:row r="331">
      <x:c r="A331" s="1" t="str">
        <x:v>PO0330</x:v>
      </x:c>
      <x:c r="B331" s="1" t="str">
        <x:v>SUP14</x:v>
      </x:c>
      <x:c r="C331" s="1" t="str">
        <x:v>Panama</x:v>
      </x:c>
      <x:c r="D331" s="1" t="str">
        <x:v>Ingredients</x:v>
      </x:c>
      <x:c r="E331" s="1" t="str">
        <x:v>Buyer 2</x:v>
      </x:c>
      <x:c r="F331" s="5" t="n">
        <x:v>46229</x:v>
      </x:c>
      <x:c r="G331" s="5" t="n">
        <x:v>46232</x:v>
      </x:c>
      <x:c r="H331" s="5" t="n">
        <x:v>46233</x:v>
      </x:c>
      <x:c r="I331" s="5" t="n">
        <x:v>46247</x:v>
      </x:c>
      <x:c r="J331" s="1" t="n">
        <x:v>1379</x:v>
      </x:c>
      <x:c r="K331" s="6" t="n">
        <x:v>19.38</x:v>
      </x:c>
      <x:c r="L331" s="10" t="n">
        <x:f>J331*K331</x:f>
        <x:v>26725.02</x:v>
      </x:c>
      <x:c r="M331" t="n">
        <x:f>G331-F331</x:f>
        <x:v>3</x:v>
      </x:c>
      <x:c r="N331" t="n">
        <x:f>H331-F331</x:f>
        <x:v>4</x:v>
      </x:c>
    </x:row>
    <x:row r="332">
      <x:c r="A332" s="1" t="str">
        <x:v>PO0331</x:v>
      </x:c>
      <x:c r="B332" s="1" t="str">
        <x:v>SUP08</x:v>
      </x:c>
      <x:c r="C332" s="1" t="str">
        <x:v>Mexico</x:v>
      </x:c>
      <x:c r="D332" s="1" t="str">
        <x:v>Ingredients</x:v>
      </x:c>
      <x:c r="E332" s="1" t="str">
        <x:v>Buyer 3</x:v>
      </x:c>
      <x:c r="F332" s="5" t="n">
        <x:v>46208</x:v>
      </x:c>
      <x:c r="G332" s="5" t="n">
        <x:v>46209</x:v>
      </x:c>
      <x:c r="H332" s="5" t="n">
        <x:v>46209</x:v>
      </x:c>
      <x:c r="I332" s="5" t="n">
        <x:v>46219</x:v>
      </x:c>
      <x:c r="J332" s="1" t="n">
        <x:v>3457</x:v>
      </x:c>
      <x:c r="K332" s="6" t="n">
        <x:v>18.4</x:v>
      </x:c>
      <x:c r="L332" s="10" t="n">
        <x:f>J332*K332</x:f>
        <x:v>63608.799999999996</x:v>
      </x:c>
      <x:c r="M332" t="n">
        <x:f>G332-F332</x:f>
        <x:v>1</x:v>
      </x:c>
      <x:c r="N332" t="n">
        <x:f>H332-F332</x:f>
        <x:v>1</x:v>
      </x:c>
    </x:row>
    <x:row r="333">
      <x:c r="A333" s="1" t="str">
        <x:v>PO0332</x:v>
      </x:c>
      <x:c r="B333" s="1" t="str">
        <x:v>SUP01</x:v>
      </x:c>
      <x:c r="C333" s="1" t="str">
        <x:v>Colombia</x:v>
      </x:c>
      <x:c r="D333" s="1" t="str">
        <x:v>Packaging</x:v>
      </x:c>
      <x:c r="E333" s="1" t="str">
        <x:v>Buyer 4</x:v>
      </x:c>
      <x:c r="F333" s="5" t="n">
        <x:v>46154</x:v>
      </x:c>
      <x:c r="G333" s="5" t="n">
        <x:v>46159</x:v>
      </x:c>
      <x:c r="H333" s="5" t="n">
        <x:v>46160</x:v>
      </x:c>
      <x:c r="I333" s="5" t="n">
        <x:v>46181</x:v>
      </x:c>
      <x:c r="J333" s="1" t="n">
        <x:v>2093</x:v>
      </x:c>
      <x:c r="K333" s="6" t="n">
        <x:v>9.45</x:v>
      </x:c>
      <x:c r="L333" s="10" t="n">
        <x:f>J333*K333</x:f>
        <x:v>19778.85</x:v>
      </x:c>
      <x:c r="M333" t="n">
        <x:f>G333-F333</x:f>
        <x:v>5</x:v>
      </x:c>
      <x:c r="N333" t="n">
        <x:f>H333-F333</x:f>
        <x:v>6</x:v>
      </x:c>
    </x:row>
    <x:row r="334">
      <x:c r="A334" s="1" t="str">
        <x:v>PO0333</x:v>
      </x:c>
      <x:c r="B334" s="1" t="str">
        <x:v>SUP03</x:v>
      </x:c>
      <x:c r="C334" s="1" t="str">
        <x:v>Costa Rica</x:v>
      </x:c>
      <x:c r="D334" s="1" t="str">
        <x:v>Maintenance services</x:v>
      </x:c>
      <x:c r="E334" s="1" t="str">
        <x:v>Buyer 1</x:v>
      </x:c>
      <x:c r="F334" s="5" t="n">
        <x:v>46062</x:v>
      </x:c>
      <x:c r="G334" s="5" t="n">
        <x:v>46067</x:v>
      </x:c>
      <x:c r="H334" s="5" t="n">
        <x:v>46069</x:v>
      </x:c>
      <x:c r="I334" s="5" t="n">
        <x:v>46090</x:v>
      </x:c>
      <x:c r="J334" s="1" t="n">
        <x:v>3416</x:v>
      </x:c>
      <x:c r="K334" s="6" t="n">
        <x:v>14.52</x:v>
      </x:c>
      <x:c r="L334" s="10" t="n">
        <x:f>J334*K334</x:f>
        <x:v>49600.32</x:v>
      </x:c>
      <x:c r="M334" t="n">
        <x:f>G334-F334</x:f>
        <x:v>5</x:v>
      </x:c>
      <x:c r="N334" t="n">
        <x:f>H334-F334</x:f>
        <x:v>7</x:v>
      </x:c>
    </x:row>
    <x:row r="335">
      <x:c r="A335" s="1" t="str">
        <x:v>PO0334</x:v>
      </x:c>
      <x:c r="B335" s="1" t="str">
        <x:v>SUP10</x:v>
      </x:c>
      <x:c r="C335" s="1" t="str">
        <x:v>Guatemala</x:v>
      </x:c>
      <x:c r="D335" s="1" t="str">
        <x:v>Packaging</x:v>
      </x:c>
      <x:c r="E335" s="1" t="str">
        <x:v>Buyer 2</x:v>
      </x:c>
      <x:c r="F335" s="5" t="n">
        <x:v>46118</x:v>
      </x:c>
      <x:c r="G335" s="5" t="n">
        <x:v>46119</x:v>
      </x:c>
      <x:c r="H335" s="5" t="n">
        <x:v>46120</x:v>
      </x:c>
      <x:c r="I335" s="5" t="n">
        <x:v>46133</x:v>
      </x:c>
      <x:c r="J335" s="1" t="n">
        <x:v>1111</x:v>
      </x:c>
      <x:c r="K335" s="6" t="n">
        <x:v>4.92</x:v>
      </x:c>
      <x:c r="L335" s="10" t="n">
        <x:f>J335*K335</x:f>
        <x:v>5466.12</x:v>
      </x:c>
      <x:c r="M335" t="n">
        <x:f>G335-F335</x:f>
        <x:v>1</x:v>
      </x:c>
      <x:c r="N335" t="n">
        <x:f>H335-F335</x:f>
        <x:v>2</x:v>
      </x:c>
    </x:row>
    <x:row r="336">
      <x:c r="A336" s="1" t="str">
        <x:v>PO0335</x:v>
      </x:c>
      <x:c r="B336" s="1" t="str">
        <x:v>SUP02</x:v>
      </x:c>
      <x:c r="C336" s="1" t="str">
        <x:v>Peru</x:v>
      </x:c>
      <x:c r="D336" s="1" t="str">
        <x:v>Ingredients</x:v>
      </x:c>
      <x:c r="E336" s="1" t="str">
        <x:v>Buyer 3</x:v>
      </x:c>
      <x:c r="F336" s="5" t="n">
        <x:v>46253</x:v>
      </x:c>
      <x:c r="G336" s="5" t="n">
        <x:v>46255</x:v>
      </x:c>
      <x:c r="H336" s="5" t="n">
        <x:v>46256</x:v>
      </x:c>
      <x:c r="I336" s="5" t="n">
        <x:v>46263</x:v>
      </x:c>
      <x:c r="J336" s="1" t="n">
        <x:v>4477</x:v>
      </x:c>
      <x:c r="K336" s="6" t="n">
        <x:v>11.42</x:v>
      </x:c>
      <x:c r="L336" s="10" t="n">
        <x:f>J336*K336</x:f>
        <x:v>51127.34</x:v>
      </x:c>
      <x:c r="M336" t="n">
        <x:f>G336-F336</x:f>
        <x:v>2</x:v>
      </x:c>
      <x:c r="N336" t="n">
        <x:f>H336-F336</x:f>
        <x:v>3</x:v>
      </x:c>
    </x:row>
    <x:row r="337">
      <x:c r="A337" s="1" t="str">
        <x:v>PO0336</x:v>
      </x:c>
      <x:c r="B337" s="1" t="str">
        <x:v>SUP11</x:v>
      </x:c>
      <x:c r="C337" s="1" t="str">
        <x:v>Chile</x:v>
      </x:c>
      <x:c r="D337" s="1" t="str">
        <x:v>Ingredients</x:v>
      </x:c>
      <x:c r="E337" s="1" t="str">
        <x:v>Buyer 4</x:v>
      </x:c>
      <x:c r="F337" s="5" t="n">
        <x:v>46218</x:v>
      </x:c>
      <x:c r="G337" s="5" t="n">
        <x:v>46221</x:v>
      </x:c>
      <x:c r="H337" s="5" t="n">
        <x:v>46223</x:v>
      </x:c>
      <x:c r="I337" s="5" t="n">
        <x:v>46248</x:v>
      </x:c>
      <x:c r="J337" s="1" t="n">
        <x:v>4594</x:v>
      </x:c>
      <x:c r="K337" s="6" t="n">
        <x:v>18.18</x:v>
      </x:c>
      <x:c r="L337" s="10" t="n">
        <x:f>J337*K337</x:f>
        <x:v>83518.92</x:v>
      </x:c>
      <x:c r="M337" t="n">
        <x:f>G337-F337</x:f>
        <x:v>3</x:v>
      </x:c>
      <x:c r="N337" t="n">
        <x:f>H337-F337</x:f>
        <x:v>5</x:v>
      </x:c>
    </x:row>
    <x:row r="338">
      <x:c r="A338" s="1" t="str">
        <x:v>PO0337</x:v>
      </x:c>
      <x:c r="B338" s="1" t="str">
        <x:v>SUP03</x:v>
      </x:c>
      <x:c r="C338" s="1" t="str">
        <x:v>Panama</x:v>
      </x:c>
      <x:c r="D338" s="1" t="str">
        <x:v>Maintenance services</x:v>
      </x:c>
      <x:c r="E338" s="1" t="str">
        <x:v>Buyer 1</x:v>
      </x:c>
      <x:c r="F338" s="5" t="n">
        <x:v>46108</x:v>
      </x:c>
      <x:c r="G338" s="5" t="n">
        <x:v>46113</x:v>
      </x:c>
      <x:c r="H338" s="5" t="n">
        <x:v>46114</x:v>
      </x:c>
      <x:c r="I338" s="5" t="n">
        <x:v>46135</x:v>
      </x:c>
      <x:c r="J338" s="1" t="n">
        <x:v>4332</x:v>
      </x:c>
      <x:c r="K338" s="6" t="n">
        <x:v>6.29</x:v>
      </x:c>
      <x:c r="L338" s="10" t="n">
        <x:f>J338*K338</x:f>
        <x:v>27248.28</x:v>
      </x:c>
      <x:c r="M338" t="n">
        <x:f>G338-F338</x:f>
        <x:v>5</x:v>
      </x:c>
      <x:c r="N338" t="n">
        <x:f>H338-F338</x:f>
        <x:v>6</x:v>
      </x:c>
    </x:row>
    <x:row r="339">
      <x:c r="A339" s="1" t="str">
        <x:v>PO0338</x:v>
      </x:c>
      <x:c r="B339" s="1" t="str">
        <x:v>SUP06</x:v>
      </x:c>
      <x:c r="C339" s="1" t="str">
        <x:v>Mexico</x:v>
      </x:c>
      <x:c r="D339" s="1" t="str">
        <x:v>Maintenance services</x:v>
      </x:c>
      <x:c r="E339" s="1" t="str">
        <x:v>Buyer 2</x:v>
      </x:c>
      <x:c r="F339" s="5" t="n">
        <x:v>46038</x:v>
      </x:c>
      <x:c r="G339" s="5" t="n">
        <x:v>46039</x:v>
      </x:c>
      <x:c r="H339" s="5" t="n">
        <x:v>46040</x:v>
      </x:c>
      <x:c r="I339" s="5" t="n">
        <x:v>46049</x:v>
      </x:c>
      <x:c r="J339" s="1" t="n">
        <x:v>358</x:v>
      </x:c>
      <x:c r="K339" s="6" t="n">
        <x:v>13.52</x:v>
      </x:c>
      <x:c r="L339" s="10" t="n">
        <x:f>J339*K339</x:f>
        <x:v>4840.16</x:v>
      </x:c>
      <x:c r="M339" t="n">
        <x:f>G339-F339</x:f>
        <x:v>1</x:v>
      </x:c>
      <x:c r="N339" t="n">
        <x:f>H339-F339</x:f>
        <x:v>2</x:v>
      </x:c>
    </x:row>
    <x:row r="340">
      <x:c r="A340" s="1" t="str">
        <x:v>PO0339</x:v>
      </x:c>
      <x:c r="B340" s="1" t="str">
        <x:v>SUP05</x:v>
      </x:c>
      <x:c r="C340" s="1" t="str">
        <x:v>Colombia</x:v>
      </x:c>
      <x:c r="D340" s="1" t="str">
        <x:v>Ingredients</x:v>
      </x:c>
      <x:c r="E340" s="1" t="str">
        <x:v>Buyer 3</x:v>
      </x:c>
      <x:c r="F340" s="5" t="n">
        <x:v>46149</x:v>
      </x:c>
      <x:c r="G340" s="5" t="n">
        <x:v>46152</x:v>
      </x:c>
      <x:c r="H340" s="5" t="n">
        <x:v>46154</x:v>
      </x:c>
      <x:c r="I340" s="5" t="n">
        <x:v>46163</x:v>
      </x:c>
      <x:c r="J340" s="1" t="n">
        <x:v>2120</x:v>
      </x:c>
      <x:c r="K340" s="6" t="n">
        <x:v>18.91</x:v>
      </x:c>
      <x:c r="L340" s="10" t="n">
        <x:f>J340*K340</x:f>
        <x:v>40089.2</x:v>
      </x:c>
      <x:c r="M340" t="n">
        <x:f>G340-F340</x:f>
        <x:v>3</x:v>
      </x:c>
      <x:c r="N340" t="n">
        <x:f>H340-F340</x:f>
        <x:v>5</x:v>
      </x:c>
    </x:row>
    <x:row r="341">
      <x:c r="A341" s="1" t="str">
        <x:v>PO0340</x:v>
      </x:c>
      <x:c r="B341" s="1" t="str">
        <x:v>SUP14</x:v>
      </x:c>
      <x:c r="C341" s="1" t="str">
        <x:v>Costa Rica</x:v>
      </x:c>
      <x:c r="D341" s="1" t="str">
        <x:v>Ingredients</x:v>
      </x:c>
      <x:c r="E341" s="1" t="str">
        <x:v>Buyer 4</x:v>
      </x:c>
      <x:c r="F341" s="5" t="n">
        <x:v>46217</x:v>
      </x:c>
      <x:c r="G341" s="5" t="n">
        <x:v>46219</x:v>
      </x:c>
      <x:c r="H341" s="5" t="n">
        <x:v>46219</x:v>
      </x:c>
      <x:c r="I341" s="5" t="n">
        <x:v>46242</x:v>
      </x:c>
      <x:c r="J341" s="1" t="n">
        <x:v>561</x:v>
      </x:c>
      <x:c r="K341" s="6" t="n">
        <x:v>3</x:v>
      </x:c>
      <x:c r="L341" s="10" t="n">
        <x:f>J341*K341</x:f>
        <x:v>1683</x:v>
      </x:c>
      <x:c r="M341" t="n">
        <x:f>G341-F341</x:f>
        <x:v>2</x:v>
      </x:c>
      <x:c r="N341" t="n">
        <x:f>H341-F341</x:f>
        <x:v>2</x:v>
      </x:c>
    </x:row>
    <x:row r="342">
      <x:c r="A342" s="1" t="str">
        <x:v>PO0341</x:v>
      </x:c>
      <x:c r="B342" s="1" t="str">
        <x:v>SUP01</x:v>
      </x:c>
      <x:c r="C342" s="1" t="str">
        <x:v>Guatemala</x:v>
      </x:c>
      <x:c r="D342" s="1" t="str">
        <x:v>Packaging</x:v>
      </x:c>
      <x:c r="E342" s="1" t="str">
        <x:v>Buyer 1</x:v>
      </x:c>
      <x:c r="F342" s="5" t="n">
        <x:v>46056</x:v>
      </x:c>
      <x:c r="G342" s="5" t="n">
        <x:v>46058</x:v>
      </x:c>
      <x:c r="H342" s="5" t="n">
        <x:v>46058</x:v>
      </x:c>
      <x:c r="I342" s="5" t="n">
        <x:v>46077</x:v>
      </x:c>
      <x:c r="J342" s="1" t="n">
        <x:v>2172</x:v>
      </x:c>
      <x:c r="K342" s="6" t="n">
        <x:v>11.96</x:v>
      </x:c>
      <x:c r="L342" s="10" t="n">
        <x:f>J342*K342</x:f>
        <x:v>25977.120000000003</x:v>
      </x:c>
      <x:c r="M342" t="n">
        <x:f>G342-F342</x:f>
        <x:v>2</x:v>
      </x:c>
      <x:c r="N342" t="n">
        <x:f>H342-F342</x:f>
        <x:v>2</x:v>
      </x:c>
    </x:row>
    <x:row r="343">
      <x:c r="A343" s="1" t="str">
        <x:v>PO0342</x:v>
      </x:c>
      <x:c r="B343" s="1" t="str">
        <x:v>SUP03</x:v>
      </x:c>
      <x:c r="C343" s="1" t="str">
        <x:v>Peru</x:v>
      </x:c>
      <x:c r="D343" s="1" t="str">
        <x:v>Maintenance services</x:v>
      </x:c>
      <x:c r="E343" s="1" t="str">
        <x:v>Buyer 2</x:v>
      </x:c>
      <x:c r="F343" s="5" t="n">
        <x:v>46164</x:v>
      </x:c>
      <x:c r="G343" s="5" t="n">
        <x:v>46167</x:v>
      </x:c>
      <x:c r="H343" s="5" t="n">
        <x:v>46168</x:v>
      </x:c>
      <x:c r="I343" s="5" t="n">
        <x:v>46193</x:v>
      </x:c>
      <x:c r="J343" s="1" t="n">
        <x:v>1994</x:v>
      </x:c>
      <x:c r="K343" s="6" t="n">
        <x:v>1.54</x:v>
      </x:c>
      <x:c r="L343" s="10" t="n">
        <x:f>J343*K343</x:f>
        <x:v>3070.76</x:v>
      </x:c>
      <x:c r="M343" t="n">
        <x:f>G343-F343</x:f>
        <x:v>3</x:v>
      </x:c>
      <x:c r="N343" t="n">
        <x:f>H343-F343</x:f>
        <x:v>4</x:v>
      </x:c>
    </x:row>
    <x:row r="344">
      <x:c r="A344" s="1" t="str">
        <x:v>PO0343</x:v>
      </x:c>
      <x:c r="B344" s="1" t="str">
        <x:v>SUP14</x:v>
      </x:c>
      <x:c r="C344" s="1" t="str">
        <x:v>Chile</x:v>
      </x:c>
      <x:c r="D344" s="1" t="str">
        <x:v>Ingredients</x:v>
      </x:c>
      <x:c r="E344" s="1" t="str">
        <x:v>Buyer 3</x:v>
      </x:c>
      <x:c r="F344" s="5" t="n">
        <x:v>46050</x:v>
      </x:c>
      <x:c r="G344" s="5" t="n">
        <x:v>46052</x:v>
      </x:c>
      <x:c r="H344" s="5" t="n">
        <x:v>46053</x:v>
      </x:c>
      <x:c r="I344" s="5" t="n">
        <x:v>46073</x:v>
      </x:c>
      <x:c r="J344" s="1" t="n">
        <x:v>155</x:v>
      </x:c>
      <x:c r="K344" s="6" t="n">
        <x:v>11.82</x:v>
      </x:c>
      <x:c r="L344" s="10" t="n">
        <x:f>J344*K344</x:f>
        <x:v>1832.1000000000001</x:v>
      </x:c>
      <x:c r="M344" t="n">
        <x:f>G344-F344</x:f>
        <x:v>2</x:v>
      </x:c>
      <x:c r="N344" t="n">
        <x:f>H344-F344</x:f>
        <x:v>3</x:v>
      </x:c>
    </x:row>
    <x:row r="345">
      <x:c r="A345" s="1" t="str">
        <x:v>PO0344</x:v>
      </x:c>
      <x:c r="B345" s="1" t="str">
        <x:v>SUP13</x:v>
      </x:c>
      <x:c r="C345" s="1" t="str">
        <x:v>Panama</x:v>
      </x:c>
      <x:c r="D345" s="1" t="str">
        <x:v>Packaging</x:v>
      </x:c>
      <x:c r="E345" s="1" t="str">
        <x:v>Buyer 4</x:v>
      </x:c>
      <x:c r="F345" s="5" t="n">
        <x:v>46125</x:v>
      </x:c>
      <x:c r="G345" s="5" t="n">
        <x:v>46128</x:v>
      </x:c>
      <x:c r="H345" s="5" t="n">
        <x:v>46128</x:v>
      </x:c>
      <x:c r="I345" s="5" t="n">
        <x:v>46153</x:v>
      </x:c>
      <x:c r="J345" s="1" t="n">
        <x:v>1745</x:v>
      </x:c>
      <x:c r="K345" s="6" t="n">
        <x:v>12.69</x:v>
      </x:c>
      <x:c r="L345" s="10" t="n">
        <x:f>J345*K345</x:f>
        <x:v>22144.05</x:v>
      </x:c>
      <x:c r="M345" t="n">
        <x:f>G345-F345</x:f>
        <x:v>3</x:v>
      </x:c>
      <x:c r="N345" t="n">
        <x:f>H345-F345</x:f>
        <x:v>3</x:v>
      </x:c>
    </x:row>
    <x:row r="346">
      <x:c r="A346" s="1" t="str">
        <x:v>PO0345</x:v>
      </x:c>
      <x:c r="B346" s="1" t="str">
        <x:v>SUP11</x:v>
      </x:c>
      <x:c r="C346" s="1" t="str">
        <x:v>Mexico</x:v>
      </x:c>
      <x:c r="D346" s="1" t="str">
        <x:v>Ingredients</x:v>
      </x:c>
      <x:c r="E346" s="1" t="str">
        <x:v>Buyer 1</x:v>
      </x:c>
      <x:c r="F346" s="5" t="n">
        <x:v>46050</x:v>
      </x:c>
      <x:c r="G346" s="5" t="n">
        <x:v>46051</x:v>
      </x:c>
      <x:c r="H346" s="5" t="n">
        <x:v>46052</x:v>
      </x:c>
      <x:c r="I346" s="5" t="n">
        <x:v>46072</x:v>
      </x:c>
      <x:c r="J346" s="1" t="n">
        <x:v>1506</x:v>
      </x:c>
      <x:c r="K346" s="6" t="n">
        <x:v>8.72</x:v>
      </x:c>
      <x:c r="L346" s="10" t="n">
        <x:f>J346*K346</x:f>
        <x:v>13132.320000000002</x:v>
      </x:c>
      <x:c r="M346" t="n">
        <x:f>G346-F346</x:f>
        <x:v>1</x:v>
      </x:c>
      <x:c r="N346" t="n">
        <x:f>H346-F346</x:f>
        <x:v>2</x:v>
      </x:c>
    </x:row>
    <x:row r="347">
      <x:c r="A347" s="1" t="str">
        <x:v>PO0346</x:v>
      </x:c>
      <x:c r="B347" s="1" t="str">
        <x:v>SUP04</x:v>
      </x:c>
      <x:c r="C347" s="1" t="str">
        <x:v>Colombia</x:v>
      </x:c>
      <x:c r="D347" s="1" t="str">
        <x:v>Packaging</x:v>
      </x:c>
      <x:c r="E347" s="1" t="str">
        <x:v>Buyer 2</x:v>
      </x:c>
      <x:c r="F347" s="5" t="n">
        <x:v>46139</x:v>
      </x:c>
      <x:c r="G347" s="5" t="n">
        <x:v>46143</x:v>
      </x:c>
      <x:c r="H347" s="5" t="n">
        <x:v>46144</x:v>
      </x:c>
      <x:c r="I347" s="5" t="n">
        <x:v>46158</x:v>
      </x:c>
      <x:c r="J347" s="1" t="n">
        <x:v>3008</x:v>
      </x:c>
      <x:c r="K347" s="6" t="n">
        <x:v>5.82</x:v>
      </x:c>
      <x:c r="L347" s="10" t="n">
        <x:f>J347*K347</x:f>
        <x:v>17506.56</x:v>
      </x:c>
      <x:c r="M347" t="n">
        <x:f>G347-F347</x:f>
        <x:v>4</x:v>
      </x:c>
      <x:c r="N347" t="n">
        <x:f>H347-F347</x:f>
        <x:v>5</x:v>
      </x:c>
    </x:row>
    <x:row r="348">
      <x:c r="A348" s="1" t="str">
        <x:v>PO0347</x:v>
      </x:c>
      <x:c r="B348" s="1" t="str">
        <x:v>SUP14</x:v>
      </x:c>
      <x:c r="C348" s="1" t="str">
        <x:v>Costa Rica</x:v>
      </x:c>
      <x:c r="D348" s="1" t="str">
        <x:v>Ingredients</x:v>
      </x:c>
      <x:c r="E348" s="1" t="str">
        <x:v>Buyer 3</x:v>
      </x:c>
      <x:c r="F348" s="5" t="n">
        <x:v>46130</x:v>
      </x:c>
      <x:c r="G348" s="5" t="n">
        <x:v>46132</x:v>
      </x:c>
      <x:c r="H348" s="5" t="n">
        <x:v>46134</x:v>
      </x:c>
      <x:c r="I348" s="5" t="n">
        <x:v>46148</x:v>
      </x:c>
      <x:c r="J348" s="1" t="n">
        <x:v>4124</x:v>
      </x:c>
      <x:c r="K348" s="6" t="n">
        <x:v>5.66</x:v>
      </x:c>
      <x:c r="L348" s="10" t="n">
        <x:f>J348*K348</x:f>
        <x:v>23341.84</x:v>
      </x:c>
      <x:c r="M348" t="n">
        <x:f>G348-F348</x:f>
        <x:v>2</x:v>
      </x:c>
      <x:c r="N348" t="n">
        <x:f>H348-F348</x:f>
        <x:v>4</x:v>
      </x:c>
    </x:row>
    <x:row r="349">
      <x:c r="A349" s="1" t="str">
        <x:v>PO0348</x:v>
      </x:c>
      <x:c r="B349" s="1" t="str">
        <x:v>SUP06</x:v>
      </x:c>
      <x:c r="C349" s="1" t="str">
        <x:v>Guatemala</x:v>
      </x:c>
      <x:c r="D349" s="1" t="str">
        <x:v>Maintenance services</x:v>
      </x:c>
      <x:c r="E349" s="1" t="str">
        <x:v>Buyer 4</x:v>
      </x:c>
      <x:c r="F349" s="5" t="n">
        <x:v>46106</x:v>
      </x:c>
      <x:c r="G349" s="5" t="n">
        <x:v>46107</x:v>
      </x:c>
      <x:c r="H349" s="5" t="n">
        <x:v>46108</x:v>
      </x:c>
      <x:c r="I349" s="5" t="n">
        <x:v>46118</x:v>
      </x:c>
      <x:c r="J349" s="1" t="n">
        <x:v>2731</x:v>
      </x:c>
      <x:c r="K349" s="6" t="n">
        <x:v>21.32</x:v>
      </x:c>
      <x:c r="L349" s="10" t="n">
        <x:f>J349*K349</x:f>
        <x:v>58224.92</x:v>
      </x:c>
      <x:c r="M349" t="n">
        <x:f>G349-F349</x:f>
        <x:v>1</x:v>
      </x:c>
      <x:c r="N349" t="n">
        <x:f>H349-F349</x:f>
        <x:v>2</x:v>
      </x:c>
    </x:row>
    <x:row r="350">
      <x:c r="A350" s="1" t="str">
        <x:v>PO0349</x:v>
      </x:c>
      <x:c r="B350" s="1" t="str">
        <x:v>SUP12</x:v>
      </x:c>
      <x:c r="C350" s="1" t="str">
        <x:v>Peru</x:v>
      </x:c>
      <x:c r="D350" s="1" t="str">
        <x:v>Maintenance services</x:v>
      </x:c>
      <x:c r="E350" s="1" t="str">
        <x:v>Buyer 1</x:v>
      </x:c>
      <x:c r="F350" s="5" t="n">
        <x:v>46072</x:v>
      </x:c>
      <x:c r="G350" s="5" t="n">
        <x:v>46074</x:v>
      </x:c>
      <x:c r="H350" s="5" t="n">
        <x:v>46074</x:v>
      </x:c>
      <x:c r="I350" s="5" t="n">
        <x:v>46096</x:v>
      </x:c>
      <x:c r="J350" s="1" t="n">
        <x:v>3208</x:v>
      </x:c>
      <x:c r="K350" s="6" t="n">
        <x:v>7.19</x:v>
      </x:c>
      <x:c r="L350" s="10" t="n">
        <x:f>J350*K350</x:f>
        <x:v>23065.52</x:v>
      </x:c>
      <x:c r="M350" t="n">
        <x:f>G350-F350</x:f>
        <x:v>2</x:v>
      </x:c>
      <x:c r="N350" t="n">
        <x:f>H350-F350</x:f>
        <x:v>2</x:v>
      </x:c>
    </x:row>
    <x:row r="351">
      <x:c r="A351" s="1" t="str">
        <x:v>PO0350</x:v>
      </x:c>
      <x:c r="B351" s="1" t="str">
        <x:v>SUP13</x:v>
      </x:c>
      <x:c r="C351" s="1" t="str">
        <x:v>Chile</x:v>
      </x:c>
      <x:c r="D351" s="1" t="str">
        <x:v>Packaging</x:v>
      </x:c>
      <x:c r="E351" s="1" t="str">
        <x:v>Buyer 2</x:v>
      </x:c>
      <x:c r="F351" s="5" t="n">
        <x:v>46166</x:v>
      </x:c>
      <x:c r="G351" s="5" t="n">
        <x:v>46170</x:v>
      </x:c>
      <x:c r="H351" s="5" t="n">
        <x:v>46170</x:v>
      </x:c>
      <x:c r="I351" s="5" t="n">
        <x:v>46194</x:v>
      </x:c>
      <x:c r="J351" s="1" t="n">
        <x:v>722</x:v>
      </x:c>
      <x:c r="K351" s="6" t="n">
        <x:v>6.05</x:v>
      </x:c>
      <x:c r="L351" s="10" t="n">
        <x:f>J351*K351</x:f>
        <x:v>4368.099999999999</x:v>
      </x:c>
      <x:c r="M351" t="n">
        <x:f>G351-F351</x:f>
        <x:v>4</x:v>
      </x:c>
      <x:c r="N351" t="n">
        <x:f>H351-F351</x:f>
        <x:v>4</x:v>
      </x:c>
    </x:row>
    <x:row r="352">
      <x:c r="A352" s="1" t="str">
        <x:v>PO0351</x:v>
      </x:c>
      <x:c r="B352" s="1" t="str">
        <x:v>SUP12</x:v>
      </x:c>
      <x:c r="C352" s="1" t="str">
        <x:v>Panama</x:v>
      </x:c>
      <x:c r="D352" s="1" t="str">
        <x:v>Maintenance services</x:v>
      </x:c>
      <x:c r="E352" s="1" t="str">
        <x:v>Buyer 3</x:v>
      </x:c>
      <x:c r="F352" s="5" t="n">
        <x:v>46152</x:v>
      </x:c>
      <x:c r="G352" s="5" t="n">
        <x:v>46155</x:v>
      </x:c>
      <x:c r="H352" s="5" t="n">
        <x:v>46156</x:v>
      </x:c>
      <x:c r="I352" s="5" t="n">
        <x:v>46168</x:v>
      </x:c>
      <x:c r="J352" s="1" t="n">
        <x:v>1757</x:v>
      </x:c>
      <x:c r="K352" s="6" t="n">
        <x:v>7.58</x:v>
      </x:c>
      <x:c r="L352" s="10" t="n">
        <x:f>J352*K352</x:f>
        <x:v>13318.06</x:v>
      </x:c>
      <x:c r="M352" t="n">
        <x:f>G352-F352</x:f>
        <x:v>3</x:v>
      </x:c>
      <x:c r="N352" t="n">
        <x:f>H352-F352</x:f>
        <x:v>4</x:v>
      </x:c>
    </x:row>
    <x:row r="353">
      <x:c r="A353" s="1" t="str">
        <x:v>PO0352</x:v>
      </x:c>
      <x:c r="B353" s="1" t="str">
        <x:v>SUP12</x:v>
      </x:c>
      <x:c r="C353" s="1" t="str">
        <x:v>Mexico</x:v>
      </x:c>
      <x:c r="D353" s="1" t="str">
        <x:v>Maintenance services</x:v>
      </x:c>
      <x:c r="E353" s="1" t="str">
        <x:v>Buyer 4</x:v>
      </x:c>
      <x:c r="F353" s="5" t="n">
        <x:v>46158</x:v>
      </x:c>
      <x:c r="G353" s="5" t="n">
        <x:v>46159</x:v>
      </x:c>
      <x:c r="H353" s="5" t="n">
        <x:v>46159</x:v>
      </x:c>
      <x:c r="I353" s="5" t="n">
        <x:v>46169</x:v>
      </x:c>
      <x:c r="J353" s="1" t="n">
        <x:v>183</x:v>
      </x:c>
      <x:c r="K353" s="6" t="n">
        <x:v>1.07</x:v>
      </x:c>
      <x:c r="L353" s="10" t="n">
        <x:f>J353*K353</x:f>
        <x:v>195.81</x:v>
      </x:c>
      <x:c r="M353" t="n">
        <x:f>G353-F353</x:f>
        <x:v>1</x:v>
      </x:c>
      <x:c r="N353" t="n">
        <x:f>H353-F353</x:f>
        <x:v>1</x:v>
      </x:c>
    </x:row>
    <x:row r="354">
      <x:c r="A354" s="1" t="str">
        <x:v>PO0353</x:v>
      </x:c>
      <x:c r="B354" s="1" t="str">
        <x:v>SUP09</x:v>
      </x:c>
      <x:c r="C354" s="1" t="str">
        <x:v>Colombia</x:v>
      </x:c>
      <x:c r="D354" s="1" t="str">
        <x:v>Maintenance services</x:v>
      </x:c>
      <x:c r="E354" s="1" t="str">
        <x:v>Buyer 1</x:v>
      </x:c>
      <x:c r="F354" s="5" t="n">
        <x:v>46145</x:v>
      </x:c>
      <x:c r="G354" s="5" t="n">
        <x:v>46149</x:v>
      </x:c>
      <x:c r="H354" s="5" t="n">
        <x:v>46149</x:v>
      </x:c>
      <x:c r="I354" s="5" t="n">
        <x:v>46168</x:v>
      </x:c>
      <x:c r="J354" s="1" t="n">
        <x:v>1643</x:v>
      </x:c>
      <x:c r="K354" s="6" t="n">
        <x:v>19.46</x:v>
      </x:c>
      <x:c r="L354" s="10" t="n">
        <x:f>J354*K354</x:f>
        <x:v>31972.780000000002</x:v>
      </x:c>
      <x:c r="M354" t="n">
        <x:f>G354-F354</x:f>
        <x:v>4</x:v>
      </x:c>
      <x:c r="N354" t="n">
        <x:f>H354-F354</x:f>
        <x:v>4</x:v>
      </x:c>
    </x:row>
    <x:row r="355">
      <x:c r="A355" s="1" t="str">
        <x:v>PO0354</x:v>
      </x:c>
      <x:c r="B355" s="1" t="str">
        <x:v>SUP08</x:v>
      </x:c>
      <x:c r="C355" s="1" t="str">
        <x:v>Costa Rica</x:v>
      </x:c>
      <x:c r="D355" s="1" t="str">
        <x:v>Ingredients</x:v>
      </x:c>
      <x:c r="E355" s="1" t="str">
        <x:v>Buyer 2</x:v>
      </x:c>
      <x:c r="F355" s="5" t="n">
        <x:v>46202</x:v>
      </x:c>
      <x:c r="G355" s="5" t="n">
        <x:v>46203</x:v>
      </x:c>
      <x:c r="H355" s="5" t="n">
        <x:v>46203</x:v>
      </x:c>
      <x:c r="I355" s="5" t="n">
        <x:v>46213</x:v>
      </x:c>
      <x:c r="J355" s="1" t="n">
        <x:v>3044</x:v>
      </x:c>
      <x:c r="K355" s="6" t="n">
        <x:v>1.55</x:v>
      </x:c>
      <x:c r="L355" s="10" t="n">
        <x:f>J355*K355</x:f>
        <x:v>4718.2</x:v>
      </x:c>
      <x:c r="M355" t="n">
        <x:f>G355-F355</x:f>
        <x:v>1</x:v>
      </x:c>
      <x:c r="N355" t="n">
        <x:f>H355-F355</x:f>
        <x:v>1</x:v>
      </x:c>
    </x:row>
    <x:row r="356">
      <x:c r="A356" s="1" t="str">
        <x:v>PO0355</x:v>
      </x:c>
      <x:c r="B356" s="1" t="str">
        <x:v>SUP06</x:v>
      </x:c>
      <x:c r="C356" s="1" t="str">
        <x:v>Guatemala</x:v>
      </x:c>
      <x:c r="D356" s="1" t="str">
        <x:v>Maintenance services</x:v>
      </x:c>
      <x:c r="E356" s="1" t="str">
        <x:v>Buyer 3</x:v>
      </x:c>
      <x:c r="F356" s="5" t="n">
        <x:v>46276</x:v>
      </x:c>
      <x:c r="G356" s="5" t="n">
        <x:v>46281</x:v>
      </x:c>
      <x:c r="H356" s="5" t="n">
        <x:v>46283</x:v>
      </x:c>
      <x:c r="I356" s="5" t="n">
        <x:v>46305</x:v>
      </x:c>
      <x:c r="J356" s="1" t="n">
        <x:v>1829</x:v>
      </x:c>
      <x:c r="K356" s="6" t="n">
        <x:v>1.84</x:v>
      </x:c>
      <x:c r="L356" s="10" t="n">
        <x:f>J356*K356</x:f>
        <x:v>3365.36</x:v>
      </x:c>
      <x:c r="M356" t="n">
        <x:f>G356-F356</x:f>
        <x:v>5</x:v>
      </x:c>
      <x:c r="N356" t="n">
        <x:f>H356-F356</x:f>
        <x:v>7</x:v>
      </x:c>
    </x:row>
    <x:row r="357">
      <x:c r="A357" s="1" t="str">
        <x:v>PO0356</x:v>
      </x:c>
      <x:c r="B357" s="1" t="str">
        <x:v>SUP04</x:v>
      </x:c>
      <x:c r="C357" s="1" t="str">
        <x:v>Peru</x:v>
      </x:c>
      <x:c r="D357" s="1" t="str">
        <x:v>Packaging</x:v>
      </x:c>
      <x:c r="E357" s="1" t="str">
        <x:v>Buyer 4</x:v>
      </x:c>
      <x:c r="F357" s="5" t="n">
        <x:v>46138</x:v>
      </x:c>
      <x:c r="G357" s="5" t="n">
        <x:v>46142</x:v>
      </x:c>
      <x:c r="H357" s="5" t="n">
        <x:v>46143</x:v>
      </x:c>
      <x:c r="I357" s="5" t="n">
        <x:v>46168</x:v>
      </x:c>
      <x:c r="J357" s="1" t="n">
        <x:v>2490</x:v>
      </x:c>
      <x:c r="K357" s="6" t="n">
        <x:v>4.6</x:v>
      </x:c>
      <x:c r="L357" s="10" t="n">
        <x:f>J357*K357</x:f>
        <x:v>11454</x:v>
      </x:c>
      <x:c r="M357" t="n">
        <x:f>G357-F357</x:f>
        <x:v>4</x:v>
      </x:c>
      <x:c r="N357" t="n">
        <x:f>H357-F357</x:f>
        <x:v>5</x:v>
      </x:c>
    </x:row>
    <x:row r="358">
      <x:c r="A358" s="1" t="str">
        <x:v>PO0357</x:v>
      </x:c>
      <x:c r="B358" s="1" t="str">
        <x:v>SUP09</x:v>
      </x:c>
      <x:c r="C358" s="1" t="str">
        <x:v>Chile</x:v>
      </x:c>
      <x:c r="D358" s="1" t="str">
        <x:v>Maintenance services</x:v>
      </x:c>
      <x:c r="E358" s="1" t="str">
        <x:v>Buyer 1</x:v>
      </x:c>
      <x:c r="F358" s="5" t="n">
        <x:v>46053</x:v>
      </x:c>
      <x:c r="G358" s="5" t="n">
        <x:v>46057</x:v>
      </x:c>
      <x:c r="H358" s="5" t="n">
        <x:v>46057</x:v>
      </x:c>
      <x:c r="I358" s="5" t="n">
        <x:v>46064</x:v>
      </x:c>
      <x:c r="J358" s="1" t="n">
        <x:v>165</x:v>
      </x:c>
      <x:c r="K358" s="6" t="n">
        <x:v>1.89</x:v>
      </x:c>
      <x:c r="L358" s="10" t="n">
        <x:f>J358*K358</x:f>
        <x:v>311.84999999999997</x:v>
      </x:c>
      <x:c r="M358" t="n">
        <x:f>G358-F358</x:f>
        <x:v>4</x:v>
      </x:c>
      <x:c r="N358" t="n">
        <x:f>H358-F358</x:f>
        <x:v>4</x:v>
      </x:c>
    </x:row>
    <x:row r="359">
      <x:c r="A359" s="1" t="str">
        <x:v>PO0358</x:v>
      </x:c>
      <x:c r="B359" s="1" t="str">
        <x:v>SUP07</x:v>
      </x:c>
      <x:c r="C359" s="1" t="str">
        <x:v>Panama</x:v>
      </x:c>
      <x:c r="D359" s="1" t="str">
        <x:v>Packaging</x:v>
      </x:c>
      <x:c r="E359" s="1" t="str">
        <x:v>Buyer 2</x:v>
      </x:c>
      <x:c r="F359" s="5" t="n">
        <x:v>46084</x:v>
      </x:c>
      <x:c r="G359" s="5" t="n">
        <x:v>46086</x:v>
      </x:c>
      <x:c r="H359" s="5" t="n">
        <x:v>46086</x:v>
      </x:c>
      <x:c r="I359" s="5" t="n">
        <x:v>46106</x:v>
      </x:c>
      <x:c r="J359" s="1" t="n">
        <x:v>3626</x:v>
      </x:c>
      <x:c r="K359" s="6" t="n">
        <x:v>12.36</x:v>
      </x:c>
      <x:c r="L359" s="10" t="n">
        <x:f>J359*K359</x:f>
        <x:v>44817.36</x:v>
      </x:c>
      <x:c r="M359" t="n">
        <x:f>G359-F359</x:f>
        <x:v>2</x:v>
      </x:c>
      <x:c r="N359" t="n">
        <x:f>H359-F359</x:f>
        <x:v>2</x:v>
      </x:c>
    </x:row>
    <x:row r="360">
      <x:c r="A360" s="1" t="str">
        <x:v>PO0359</x:v>
      </x:c>
      <x:c r="B360" s="1" t="str">
        <x:v>SUP05</x:v>
      </x:c>
      <x:c r="C360" s="1" t="str">
        <x:v>Mexico</x:v>
      </x:c>
      <x:c r="D360" s="1" t="str">
        <x:v>Ingredients</x:v>
      </x:c>
      <x:c r="E360" s="1" t="str">
        <x:v>Buyer 3</x:v>
      </x:c>
      <x:c r="F360" s="5" t="n">
        <x:v>46041</x:v>
      </x:c>
      <x:c r="G360" s="5" t="n">
        <x:v>46045</x:v>
      </x:c>
      <x:c r="H360" s="5" t="n">
        <x:v>46045</x:v>
      </x:c>
      <x:c r="I360" s="5" t="n">
        <x:v>46070</x:v>
      </x:c>
      <x:c r="J360" s="1" t="n">
        <x:v>4419</x:v>
      </x:c>
      <x:c r="K360" s="6" t="n">
        <x:v>24.59</x:v>
      </x:c>
      <x:c r="L360" s="10" t="n">
        <x:f>J360*K360</x:f>
        <x:v>108663.21</x:v>
      </x:c>
      <x:c r="M360" t="n">
        <x:f>G360-F360</x:f>
        <x:v>4</x:v>
      </x:c>
      <x:c r="N360" t="n">
        <x:f>H360-F360</x:f>
        <x:v>4</x:v>
      </x:c>
    </x:row>
    <x:row r="361">
      <x:c r="A361" s="1" t="str">
        <x:v>PO0360</x:v>
      </x:c>
      <x:c r="B361" s="1" t="str">
        <x:v>SUP08</x:v>
      </x:c>
      <x:c r="C361" s="1" t="str">
        <x:v>Colombia</x:v>
      </x:c>
      <x:c r="D361" s="1" t="str">
        <x:v>Ingredients</x:v>
      </x:c>
      <x:c r="E361" s="1" t="str">
        <x:v>Buyer 4</x:v>
      </x:c>
      <x:c r="F361" s="5" t="n">
        <x:v>46249</x:v>
      </x:c>
      <x:c r="G361" s="5" t="n">
        <x:v>46253</x:v>
      </x:c>
      <x:c r="H361" s="5" t="n">
        <x:v>46253</x:v>
      </x:c>
      <x:c r="I361" s="5" t="n">
        <x:v>46271</x:v>
      </x:c>
      <x:c r="J361" s="1" t="n">
        <x:v>149</x:v>
      </x:c>
      <x:c r="K361" s="6" t="n">
        <x:v>15.95</x:v>
      </x:c>
      <x:c r="L361" s="10" t="n">
        <x:f>J361*K361</x:f>
        <x:v>2376.5499999999997</x:v>
      </x:c>
      <x:c r="M361" t="n">
        <x:f>G361-F361</x:f>
        <x:v>4</x:v>
      </x:c>
      <x:c r="N361" t="n">
        <x:f>H361-F361</x:f>
        <x:v>4</x:v>
      </x:c>
    </x:row>
    <x:row r="362">
      <x:c r="A362" s="1" t="str">
        <x:v>PO0361</x:v>
      </x:c>
      <x:c r="B362" s="1" t="str">
        <x:v>SUP11</x:v>
      </x:c>
      <x:c r="C362" s="1" t="str">
        <x:v>Costa Rica</x:v>
      </x:c>
      <x:c r="D362" s="1" t="str">
        <x:v>Ingredients</x:v>
      </x:c>
      <x:c r="E362" s="1" t="str">
        <x:v>Buyer 1</x:v>
      </x:c>
      <x:c r="F362" s="5" t="n">
        <x:v>46073</x:v>
      </x:c>
      <x:c r="G362" s="5" t="n">
        <x:v>46074</x:v>
      </x:c>
      <x:c r="H362" s="5" t="n">
        <x:v>46074</x:v>
      </x:c>
      <x:c r="I362" s="5" t="n">
        <x:v>46096</x:v>
      </x:c>
      <x:c r="J362" s="1" t="n">
        <x:v>1830</x:v>
      </x:c>
      <x:c r="K362" s="6" t="n">
        <x:v>24.89</x:v>
      </x:c>
      <x:c r="L362" s="10" t="n">
        <x:f>J362*K362</x:f>
        <x:v>45548.700000000004</x:v>
      </x:c>
      <x:c r="M362" t="n">
        <x:f>G362-F362</x:f>
        <x:v>1</x:v>
      </x:c>
      <x:c r="N362" t="n">
        <x:f>H362-F362</x:f>
        <x:v>1</x:v>
      </x:c>
    </x:row>
    <x:row r="363">
      <x:c r="A363" s="1" t="str">
        <x:v>PO0362</x:v>
      </x:c>
      <x:c r="B363" s="1" t="str">
        <x:v>SUP14</x:v>
      </x:c>
      <x:c r="C363" s="1" t="str">
        <x:v>Guatemala</x:v>
      </x:c>
      <x:c r="D363" s="1" t="str">
        <x:v>Ingredients</x:v>
      </x:c>
      <x:c r="E363" s="1" t="str">
        <x:v>Buyer 2</x:v>
      </x:c>
      <x:c r="F363" s="5" t="n">
        <x:v>46026</x:v>
      </x:c>
      <x:c r="G363" s="5" t="n">
        <x:v>46029</x:v>
      </x:c>
      <x:c r="H363" s="5" t="n">
        <x:v>46031</x:v>
      </x:c>
      <x:c r="I363" s="5" t="n">
        <x:v>46052</x:v>
      </x:c>
      <x:c r="J363" s="1" t="n">
        <x:v>1959</x:v>
      </x:c>
      <x:c r="K363" s="6" t="n">
        <x:v>17.64</x:v>
      </x:c>
      <x:c r="L363" s="10" t="n">
        <x:f>J363*K363</x:f>
        <x:v>34556.76</x:v>
      </x:c>
      <x:c r="M363" t="n">
        <x:f>G363-F363</x:f>
        <x:v>3</x:v>
      </x:c>
      <x:c r="N363" t="n">
        <x:f>H363-F363</x:f>
        <x:v>5</x:v>
      </x:c>
    </x:row>
    <x:row r="364">
      <x:c r="A364" s="1" t="str">
        <x:v>PO0363</x:v>
      </x:c>
      <x:c r="B364" s="1" t="str">
        <x:v>SUP04</x:v>
      </x:c>
      <x:c r="C364" s="1" t="str">
        <x:v>Peru</x:v>
      </x:c>
      <x:c r="D364" s="1" t="str">
        <x:v>Packaging</x:v>
      </x:c>
      <x:c r="E364" s="1" t="str">
        <x:v>Buyer 3</x:v>
      </x:c>
      <x:c r="F364" s="5" t="n">
        <x:v>46074</x:v>
      </x:c>
      <x:c r="G364" s="5" t="n">
        <x:v>46079</x:v>
      </x:c>
      <x:c r="H364" s="5" t="n">
        <x:v>46080</x:v>
      </x:c>
      <x:c r="I364" s="5" t="n">
        <x:v>46092</x:v>
      </x:c>
      <x:c r="J364" s="1" t="n">
        <x:v>1688</x:v>
      </x:c>
      <x:c r="K364" s="6" t="n">
        <x:v>3.81</x:v>
      </x:c>
      <x:c r="L364" s="10" t="n">
        <x:f>J364*K364</x:f>
        <x:v>6431.28</x:v>
      </x:c>
      <x:c r="M364" t="n">
        <x:f>G364-F364</x:f>
        <x:v>5</x:v>
      </x:c>
      <x:c r="N364" t="n">
        <x:f>H364-F364</x:f>
        <x:v>6</x:v>
      </x:c>
    </x:row>
    <x:row r="365">
      <x:c r="A365" s="1" t="str">
        <x:v>PO0364</x:v>
      </x:c>
      <x:c r="B365" s="1" t="str">
        <x:v>SUP11</x:v>
      </x:c>
      <x:c r="C365" s="1" t="str">
        <x:v>Chile</x:v>
      </x:c>
      <x:c r="D365" s="1" t="str">
        <x:v>Ingredients</x:v>
      </x:c>
      <x:c r="E365" s="1" t="str">
        <x:v>Buyer 4</x:v>
      </x:c>
      <x:c r="F365" s="5" t="n">
        <x:v>46202</x:v>
      </x:c>
      <x:c r="G365" s="5" t="n">
        <x:v>46207</x:v>
      </x:c>
      <x:c r="H365" s="5" t="n">
        <x:v>46208</x:v>
      </x:c>
      <x:c r="I365" s="5" t="n">
        <x:v>46217</x:v>
      </x:c>
      <x:c r="J365" s="1" t="n">
        <x:v>4388</x:v>
      </x:c>
      <x:c r="K365" s="6" t="n">
        <x:v>15.03</x:v>
      </x:c>
      <x:c r="L365" s="10" t="n">
        <x:f>J365*K365</x:f>
        <x:v>65951.64</x:v>
      </x:c>
      <x:c r="M365" t="n">
        <x:f>G365-F365</x:f>
        <x:v>5</x:v>
      </x:c>
      <x:c r="N365" t="n">
        <x:f>H365-F365</x:f>
        <x:v>6</x:v>
      </x:c>
    </x:row>
    <x:row r="366">
      <x:c r="A366" s="1" t="str">
        <x:v>PO0365</x:v>
      </x:c>
      <x:c r="B366" s="1" t="str">
        <x:v>SUP07</x:v>
      </x:c>
      <x:c r="C366" s="1" t="str">
        <x:v>Panama</x:v>
      </x:c>
      <x:c r="D366" s="1" t="str">
        <x:v>Packaging</x:v>
      </x:c>
      <x:c r="E366" s="1" t="str">
        <x:v>Buyer 1</x:v>
      </x:c>
      <x:c r="F366" s="5" t="n">
        <x:v>46182</x:v>
      </x:c>
      <x:c r="G366" s="5" t="n">
        <x:v>46184</x:v>
      </x:c>
      <x:c r="H366" s="5" t="n">
        <x:v>46184</x:v>
      </x:c>
      <x:c r="I366" s="5" t="n">
        <x:v>46200</x:v>
      </x:c>
      <x:c r="J366" s="1" t="n">
        <x:v>1400</x:v>
      </x:c>
      <x:c r="K366" s="6" t="n">
        <x:v>14.81</x:v>
      </x:c>
      <x:c r="L366" s="10" t="n">
        <x:f>J366*K366</x:f>
        <x:v>20734</x:v>
      </x:c>
      <x:c r="M366" t="n">
        <x:f>G366-F366</x:f>
        <x:v>2</x:v>
      </x:c>
      <x:c r="N366" t="n">
        <x:f>H366-F366</x:f>
        <x:v>2</x:v>
      </x:c>
    </x:row>
    <x:row r="367">
      <x:c r="A367" s="1" t="str">
        <x:v>PO0366</x:v>
      </x:c>
      <x:c r="B367" s="1" t="str">
        <x:v>SUP05</x:v>
      </x:c>
      <x:c r="C367" s="1" t="str">
        <x:v>Mexico</x:v>
      </x:c>
      <x:c r="D367" s="1" t="str">
        <x:v>Ingredients</x:v>
      </x:c>
      <x:c r="E367" s="1" t="str">
        <x:v>Buyer 2</x:v>
      </x:c>
      <x:c r="F367" s="5" t="n">
        <x:v>46110</x:v>
      </x:c>
      <x:c r="G367" s="5" t="n">
        <x:v>46114</x:v>
      </x:c>
      <x:c r="H367" s="5" t="n">
        <x:v>46115</x:v>
      </x:c>
      <x:c r="I367" s="5" t="n">
        <x:v>46134</x:v>
      </x:c>
      <x:c r="J367" s="1" t="n">
        <x:v>4318</x:v>
      </x:c>
      <x:c r="K367" s="6" t="n">
        <x:v>22.34</x:v>
      </x:c>
      <x:c r="L367" s="10" t="n">
        <x:f>J367*K367</x:f>
        <x:v>96464.12</x:v>
      </x:c>
      <x:c r="M367" t="n">
        <x:f>G367-F367</x:f>
        <x:v>4</x:v>
      </x:c>
      <x:c r="N367" t="n">
        <x:f>H367-F367</x:f>
        <x:v>5</x:v>
      </x:c>
    </x:row>
    <x:row r="368">
      <x:c r="A368" s="1" t="str">
        <x:v>PO0367</x:v>
      </x:c>
      <x:c r="B368" s="1" t="str">
        <x:v>SUP05</x:v>
      </x:c>
      <x:c r="C368" s="1" t="str">
        <x:v>Colombia</x:v>
      </x:c>
      <x:c r="D368" s="1" t="str">
        <x:v>Ingredients</x:v>
      </x:c>
      <x:c r="E368" s="1" t="str">
        <x:v>Buyer 3</x:v>
      </x:c>
      <x:c r="F368" s="5" t="n">
        <x:v>46239</x:v>
      </x:c>
      <x:c r="G368" s="5" t="n">
        <x:v>46242</x:v>
      </x:c>
      <x:c r="H368" s="5" t="n">
        <x:v>46243</x:v>
      </x:c>
      <x:c r="I368" s="5" t="n">
        <x:v>46255</x:v>
      </x:c>
      <x:c r="J368" s="1" t="n">
        <x:v>1501</x:v>
      </x:c>
      <x:c r="K368" s="6" t="n">
        <x:v>8.74</x:v>
      </x:c>
      <x:c r="L368" s="10" t="n">
        <x:f>J368*K368</x:f>
        <x:v>13118.74</x:v>
      </x:c>
      <x:c r="M368" t="n">
        <x:f>G368-F368</x:f>
        <x:v>3</x:v>
      </x:c>
      <x:c r="N368" t="n">
        <x:f>H368-F368</x:f>
        <x:v>4</x:v>
      </x:c>
    </x:row>
    <x:row r="369">
      <x:c r="A369" s="1" t="str">
        <x:v>PO0368</x:v>
      </x:c>
      <x:c r="B369" s="1" t="str">
        <x:v>SUP09</x:v>
      </x:c>
      <x:c r="C369" s="1" t="str">
        <x:v>Costa Rica</x:v>
      </x:c>
      <x:c r="D369" s="1" t="str">
        <x:v>Maintenance services</x:v>
      </x:c>
      <x:c r="E369" s="1" t="str">
        <x:v>Buyer 4</x:v>
      </x:c>
      <x:c r="F369" s="5" t="n">
        <x:v>46259</x:v>
      </x:c>
      <x:c r="G369" s="5" t="n">
        <x:v>46260</x:v>
      </x:c>
      <x:c r="H369" s="5" t="n">
        <x:v>46260</x:v>
      </x:c>
      <x:c r="I369" s="5" t="n">
        <x:v>46268</x:v>
      </x:c>
      <x:c r="J369" s="1" t="n">
        <x:v>2001</x:v>
      </x:c>
      <x:c r="K369" s="6" t="n">
        <x:v>18.5</x:v>
      </x:c>
      <x:c r="L369" s="10" t="n">
        <x:f>J369*K369</x:f>
        <x:v>37018.5</x:v>
      </x:c>
      <x:c r="M369" t="n">
        <x:f>G369-F369</x:f>
        <x:v>1</x:v>
      </x:c>
      <x:c r="N369" t="n">
        <x:f>H369-F369</x:f>
        <x:v>1</x:v>
      </x:c>
    </x:row>
    <x:row r="370">
      <x:c r="A370" s="1" t="str">
        <x:v>PO0369</x:v>
      </x:c>
      <x:c r="B370" s="1" t="str">
        <x:v>SUP02</x:v>
      </x:c>
      <x:c r="C370" s="1" t="str">
        <x:v>Guatemala</x:v>
      </x:c>
      <x:c r="D370" s="1" t="str">
        <x:v>Ingredients</x:v>
      </x:c>
      <x:c r="E370" s="1" t="str">
        <x:v>Buyer 1</x:v>
      </x:c>
      <x:c r="F370" s="5" t="n">
        <x:v>46266</x:v>
      </x:c>
      <x:c r="G370" s="5" t="n">
        <x:v>46268</x:v>
      </x:c>
      <x:c r="H370" s="5" t="n">
        <x:v>46269</x:v>
      </x:c>
      <x:c r="I370" s="5" t="n">
        <x:v>46286</x:v>
      </x:c>
      <x:c r="J370" s="1" t="n">
        <x:v>2962</x:v>
      </x:c>
      <x:c r="K370" s="6" t="n">
        <x:v>14.49</x:v>
      </x:c>
      <x:c r="L370" s="10" t="n">
        <x:f>J370*K370</x:f>
        <x:v>42919.38</x:v>
      </x:c>
      <x:c r="M370" t="n">
        <x:f>G370-F370</x:f>
        <x:v>2</x:v>
      </x:c>
      <x:c r="N370" t="n">
        <x:f>H370-F370</x:f>
        <x:v>3</x:v>
      </x:c>
    </x:row>
    <x:row r="371">
      <x:c r="A371" s="1" t="str">
        <x:v>PO0370</x:v>
      </x:c>
      <x:c r="B371" s="1" t="str">
        <x:v>SUP03</x:v>
      </x:c>
      <x:c r="C371" s="1" t="str">
        <x:v>Peru</x:v>
      </x:c>
      <x:c r="D371" s="1" t="str">
        <x:v>Maintenance services</x:v>
      </x:c>
      <x:c r="E371" s="1" t="str">
        <x:v>Buyer 2</x:v>
      </x:c>
      <x:c r="F371" s="5" t="n">
        <x:v>46115</x:v>
      </x:c>
      <x:c r="G371" s="5" t="n">
        <x:v>46126</x:v>
      </x:c>
      <x:c r="H371" s="5" t="n">
        <x:v>46126</x:v>
      </x:c>
      <x:c r="I371" s="5" t="n">
        <x:v>46133</x:v>
      </x:c>
      <x:c r="J371" s="1" t="n">
        <x:v>2008</x:v>
      </x:c>
      <x:c r="K371" s="6" t="n">
        <x:v>7.57</x:v>
      </x:c>
      <x:c r="L371" s="10" t="n">
        <x:f>J371*K371</x:f>
        <x:v>15200.560000000001</x:v>
      </x:c>
      <x:c r="M371" t="n">
        <x:f>G371-F371</x:f>
        <x:v>11</x:v>
      </x:c>
      <x:c r="N371" t="n">
        <x:f>H371-F371</x:f>
        <x:v>11</x:v>
      </x:c>
    </x:row>
    <x:row r="372">
      <x:c r="A372" s="1" t="str">
        <x:v>PO0371</x:v>
      </x:c>
      <x:c r="B372" s="1" t="str">
        <x:v>SUP07</x:v>
      </x:c>
      <x:c r="C372" s="1" t="str">
        <x:v>Chile</x:v>
      </x:c>
      <x:c r="D372" s="1" t="str">
        <x:v>Packaging</x:v>
      </x:c>
      <x:c r="E372" s="1" t="str">
        <x:v>Buyer 3</x:v>
      </x:c>
      <x:c r="F372" s="5" t="n">
        <x:v>46142</x:v>
      </x:c>
      <x:c r="G372" s="5" t="n">
        <x:v>46146</x:v>
      </x:c>
      <x:c r="H372" s="5" t="n">
        <x:v>46146</x:v>
      </x:c>
      <x:c r="I372" s="5" t="n">
        <x:v>46156</x:v>
      </x:c>
      <x:c r="J372" s="1" t="n">
        <x:v>2752</x:v>
      </x:c>
      <x:c r="K372" s="6" t="n">
        <x:v>15.54</x:v>
      </x:c>
      <x:c r="L372" s="10" t="n">
        <x:f>J372*K372</x:f>
        <x:v>42766.079999999994</x:v>
      </x:c>
      <x:c r="M372" t="n">
        <x:f>G372-F372</x:f>
        <x:v>4</x:v>
      </x:c>
      <x:c r="N372" t="n">
        <x:f>H372-F372</x:f>
        <x:v>4</x:v>
      </x:c>
    </x:row>
    <x:row r="373">
      <x:c r="A373" s="1" t="str">
        <x:v>PO0372</x:v>
      </x:c>
      <x:c r="B373" s="1" t="str">
        <x:v>SUP06</x:v>
      </x:c>
      <x:c r="C373" s="1" t="str">
        <x:v>Panama</x:v>
      </x:c>
      <x:c r="D373" s="1" t="str">
        <x:v>Maintenance services</x:v>
      </x:c>
      <x:c r="E373" s="1" t="str">
        <x:v>Buyer 4</x:v>
      </x:c>
      <x:c r="F373" s="5" t="n">
        <x:v>46166</x:v>
      </x:c>
      <x:c r="G373" s="5" t="n">
        <x:v>46171</x:v>
      </x:c>
      <x:c r="H373" s="5" t="n">
        <x:v>46172</x:v>
      </x:c>
      <x:c r="I373" s="5" t="n">
        <x:v>46189</x:v>
      </x:c>
      <x:c r="J373" s="1" t="n">
        <x:v>1651</x:v>
      </x:c>
      <x:c r="K373" s="6" t="n">
        <x:v>16.68</x:v>
      </x:c>
      <x:c r="L373" s="10" t="n">
        <x:f>J373*K373</x:f>
        <x:v>27538.68</x:v>
      </x:c>
      <x:c r="M373" t="n">
        <x:f>G373-F373</x:f>
        <x:v>5</x:v>
      </x:c>
      <x:c r="N373" t="n">
        <x:f>H373-F373</x:f>
        <x:v>6</x:v>
      </x:c>
    </x:row>
    <x:row r="374">
      <x:c r="A374" s="1" t="str">
        <x:v>PO0373</x:v>
      </x:c>
      <x:c r="B374" s="1" t="str">
        <x:v>SUP08</x:v>
      </x:c>
      <x:c r="C374" s="1" t="str">
        <x:v>Mexico</x:v>
      </x:c>
      <x:c r="D374" s="1" t="str">
        <x:v>Ingredients</x:v>
      </x:c>
      <x:c r="E374" s="1" t="str">
        <x:v>Buyer 1</x:v>
      </x:c>
      <x:c r="F374" s="5" t="n">
        <x:v>46064</x:v>
      </x:c>
      <x:c r="G374" s="5" t="n">
        <x:v>46067</x:v>
      </x:c>
      <x:c r="H374" s="5" t="n">
        <x:v>46068</x:v>
      </x:c>
      <x:c r="I374" s="5" t="n">
        <x:v>46090</x:v>
      </x:c>
      <x:c r="J374" s="1" t="n">
        <x:v>2808</x:v>
      </x:c>
      <x:c r="K374" s="6" t="n">
        <x:v>22.22</x:v>
      </x:c>
      <x:c r="L374" s="10" t="n">
        <x:f>J374*K374</x:f>
        <x:v>62393.759999999995</x:v>
      </x:c>
      <x:c r="M374" t="n">
        <x:f>G374-F374</x:f>
        <x:v>3</x:v>
      </x:c>
      <x:c r="N374" t="n">
        <x:f>H374-F374</x:f>
        <x:v>4</x:v>
      </x:c>
    </x:row>
    <x:row r="375">
      <x:c r="A375" s="1" t="str">
        <x:v>PO0374</x:v>
      </x:c>
      <x:c r="B375" s="1" t="str">
        <x:v>SUP14</x:v>
      </x:c>
      <x:c r="C375" s="1" t="str">
        <x:v>Colombia</x:v>
      </x:c>
      <x:c r="D375" s="1" t="str">
        <x:v>Ingredients</x:v>
      </x:c>
      <x:c r="E375" s="1" t="str">
        <x:v>Buyer 2</x:v>
      </x:c>
      <x:c r="F375" s="5" t="n">
        <x:v>46034</x:v>
      </x:c>
      <x:c r="G375" s="5" t="n">
        <x:v>46038</x:v>
      </x:c>
      <x:c r="H375" s="5" t="n">
        <x:v>46040</x:v>
      </x:c>
      <x:c r="I375" s="5" t="n">
        <x:v>46047</x:v>
      </x:c>
      <x:c r="J375" s="1" t="n">
        <x:v>4491</x:v>
      </x:c>
      <x:c r="K375" s="6" t="n">
        <x:v>24.07</x:v>
      </x:c>
      <x:c r="L375" s="10" t="n">
        <x:f>J375*K375</x:f>
        <x:v>108098.37</x:v>
      </x:c>
      <x:c r="M375" t="n">
        <x:f>G375-F375</x:f>
        <x:v>4</x:v>
      </x:c>
      <x:c r="N375" t="n">
        <x:f>H375-F375</x:f>
        <x:v>6</x:v>
      </x:c>
    </x:row>
    <x:row r="376">
      <x:c r="A376" s="1" t="str">
        <x:v>PO0375</x:v>
      </x:c>
      <x:c r="B376" s="1" t="str">
        <x:v>SUP04</x:v>
      </x:c>
      <x:c r="C376" s="1" t="str">
        <x:v>Costa Rica</x:v>
      </x:c>
      <x:c r="D376" s="1" t="str">
        <x:v>Packaging</x:v>
      </x:c>
      <x:c r="E376" s="1" t="str">
        <x:v>Buyer 3</x:v>
      </x:c>
      <x:c r="F376" s="5" t="n">
        <x:v>46180</x:v>
      </x:c>
      <x:c r="G376" s="5" t="n">
        <x:v>46181</x:v>
      </x:c>
      <x:c r="H376" s="5" t="n">
        <x:v>46181</x:v>
      </x:c>
      <x:c r="I376" s="5" t="n">
        <x:v>46189</x:v>
      </x:c>
      <x:c r="J376" s="1" t="n">
        <x:v>2602</x:v>
      </x:c>
      <x:c r="K376" s="6" t="n">
        <x:v>2.82</x:v>
      </x:c>
      <x:c r="L376" s="10" t="n">
        <x:f>J376*K376</x:f>
        <x:v>7337.639999999999</x:v>
      </x:c>
      <x:c r="M376" t="n">
        <x:f>G376-F376</x:f>
        <x:v>1</x:v>
      </x:c>
      <x:c r="N376" t="n">
        <x:f>H376-F376</x:f>
        <x:v>1</x:v>
      </x:c>
    </x:row>
    <x:row r="377">
      <x:c r="A377" s="1" t="str">
        <x:v>PO0376</x:v>
      </x:c>
      <x:c r="B377" s="1" t="str">
        <x:v>SUP01</x:v>
      </x:c>
      <x:c r="C377" s="1" t="str">
        <x:v>Guatemala</x:v>
      </x:c>
      <x:c r="D377" s="1" t="str">
        <x:v>Packaging</x:v>
      </x:c>
      <x:c r="E377" s="1" t="str">
        <x:v>Buyer 4</x:v>
      </x:c>
      <x:c r="F377" s="5" t="n">
        <x:v>46172</x:v>
      </x:c>
      <x:c r="G377" s="5" t="n">
        <x:v>46173</x:v>
      </x:c>
      <x:c r="H377" s="5" t="n">
        <x:v>46175</x:v>
      </x:c>
      <x:c r="I377" s="5" t="n">
        <x:v>46183</x:v>
      </x:c>
      <x:c r="J377" s="1" t="n">
        <x:v>383</x:v>
      </x:c>
      <x:c r="K377" s="6" t="n">
        <x:v>3.98</x:v>
      </x:c>
      <x:c r="L377" s="10" t="n">
        <x:f>J377*K377</x:f>
        <x:v>1524.34</x:v>
      </x:c>
      <x:c r="M377" t="n">
        <x:f>G377-F377</x:f>
        <x:v>1</x:v>
      </x:c>
      <x:c r="N377" t="n">
        <x:f>H377-F377</x:f>
        <x:v>3</x:v>
      </x:c>
    </x:row>
    <x:row r="378">
      <x:c r="A378" s="1" t="str">
        <x:v>PO0377</x:v>
      </x:c>
      <x:c r="B378" s="1" t="str">
        <x:v>SUP12</x:v>
      </x:c>
      <x:c r="C378" s="1" t="str">
        <x:v>Peru</x:v>
      </x:c>
      <x:c r="D378" s="1" t="str">
        <x:v>Maintenance services</x:v>
      </x:c>
      <x:c r="E378" s="1" t="str">
        <x:v>Buyer 1</x:v>
      </x:c>
      <x:c r="F378" s="5" t="n">
        <x:v>46268</x:v>
      </x:c>
      <x:c r="G378" s="5" t="n">
        <x:v>46271</x:v>
      </x:c>
      <x:c r="H378" s="5" t="n">
        <x:v>46273</x:v>
      </x:c>
      <x:c r="I378" s="5" t="n">
        <x:v>46284</x:v>
      </x:c>
      <x:c r="J378" s="1" t="n">
        <x:v>587</x:v>
      </x:c>
      <x:c r="K378" s="6" t="n">
        <x:v>12.7</x:v>
      </x:c>
      <x:c r="L378" s="10" t="n">
        <x:f>J378*K378</x:f>
        <x:v>7454.9</x:v>
      </x:c>
      <x:c r="M378" t="n">
        <x:f>G378-F378</x:f>
        <x:v>3</x:v>
      </x:c>
      <x:c r="N378" t="n">
        <x:f>H378-F378</x:f>
        <x:v>5</x:v>
      </x:c>
    </x:row>
    <x:row r="379">
      <x:c r="A379" s="1" t="str">
        <x:v>PO0378</x:v>
      </x:c>
      <x:c r="B379" s="1" t="str">
        <x:v>SUP11</x:v>
      </x:c>
      <x:c r="C379" s="1" t="str">
        <x:v>Chile</x:v>
      </x:c>
      <x:c r="D379" s="1" t="str">
        <x:v>Ingredients</x:v>
      </x:c>
      <x:c r="E379" s="1" t="str">
        <x:v>Buyer 2</x:v>
      </x:c>
      <x:c r="F379" s="5" t="n">
        <x:v>46200</x:v>
      </x:c>
      <x:c r="G379" s="5" t="n">
        <x:v>46203</x:v>
      </x:c>
      <x:c r="H379" s="5" t="n">
        <x:v>46204</x:v>
      </x:c>
      <x:c r="I379" s="5" t="n">
        <x:v>46211</x:v>
      </x:c>
      <x:c r="J379" s="1" t="n">
        <x:v>3138</x:v>
      </x:c>
      <x:c r="K379" s="6" t="n">
        <x:v>21.83</x:v>
      </x:c>
      <x:c r="L379" s="10" t="n">
        <x:f>J379*K379</x:f>
        <x:v>68502.54</x:v>
      </x:c>
      <x:c r="M379" t="n">
        <x:f>G379-F379</x:f>
        <x:v>3</x:v>
      </x:c>
      <x:c r="N379" t="n">
        <x:f>H379-F379</x:f>
        <x:v>4</x:v>
      </x:c>
    </x:row>
    <x:row r="380">
      <x:c r="A380" s="1" t="str">
        <x:v>PO0379</x:v>
      </x:c>
      <x:c r="B380" s="1" t="str">
        <x:v>SUP01</x:v>
      </x:c>
      <x:c r="C380" s="1" t="str">
        <x:v>Panama</x:v>
      </x:c>
      <x:c r="D380" s="1" t="str">
        <x:v>Packaging</x:v>
      </x:c>
      <x:c r="E380" s="1" t="str">
        <x:v>Buyer 3</x:v>
      </x:c>
      <x:c r="F380" s="5" t="n">
        <x:v>46267</x:v>
      </x:c>
      <x:c r="G380" s="5" t="n">
        <x:v>46272</x:v>
      </x:c>
      <x:c r="H380" s="5" t="n">
        <x:v>46272</x:v>
      </x:c>
      <x:c r="I380" s="5" t="n">
        <x:v>46295</x:v>
      </x:c>
      <x:c r="J380" s="1" t="n">
        <x:v>3378</x:v>
      </x:c>
      <x:c r="K380" s="6" t="n">
        <x:v>4.7</x:v>
      </x:c>
      <x:c r="L380" s="10" t="n">
        <x:f>J380*K380</x:f>
        <x:v>15876.6</x:v>
      </x:c>
      <x:c r="M380" t="n">
        <x:f>G380-F380</x:f>
        <x:v>5</x:v>
      </x:c>
      <x:c r="N380" t="n">
        <x:f>H380-F380</x:f>
        <x:v>5</x:v>
      </x:c>
    </x:row>
    <x:row r="381">
      <x:c r="A381" s="1" t="str">
        <x:v>PO0380</x:v>
      </x:c>
      <x:c r="B381" s="1" t="str">
        <x:v>SUP01</x:v>
      </x:c>
      <x:c r="C381" s="1" t="str">
        <x:v>Mexico</x:v>
      </x:c>
      <x:c r="D381" s="1" t="str">
        <x:v>Packaging</x:v>
      </x:c>
      <x:c r="E381" s="1" t="str">
        <x:v>Buyer 4</x:v>
      </x:c>
      <x:c r="F381" s="5" t="n">
        <x:v>46056</x:v>
      </x:c>
      <x:c r="G381" s="5" t="n">
        <x:v>46058</x:v>
      </x:c>
      <x:c r="H381" s="5" t="n">
        <x:v>46058</x:v>
      </x:c>
      <x:c r="I381" s="5" t="n">
        <x:v>46070</x:v>
      </x:c>
      <x:c r="J381" s="1" t="n">
        <x:v>257</x:v>
      </x:c>
      <x:c r="K381" s="6" t="n">
        <x:v>20.27</x:v>
      </x:c>
      <x:c r="L381" s="10" t="n">
        <x:f>J381*K381</x:f>
        <x:v>5209.39</x:v>
      </x:c>
      <x:c r="M381" t="n">
        <x:f>G381-F381</x:f>
        <x:v>2</x:v>
      </x:c>
      <x:c r="N381" t="n">
        <x:f>H381-F381</x:f>
        <x:v>2</x:v>
      </x:c>
    </x:row>
    <x:row r="382">
      <x:c r="A382" s="1" t="str">
        <x:v>PO0381</x:v>
      </x:c>
      <x:c r="B382" s="1" t="str">
        <x:v>SUP02</x:v>
      </x:c>
      <x:c r="C382" s="1" t="str">
        <x:v>Colombia</x:v>
      </x:c>
      <x:c r="D382" s="1" t="str">
        <x:v>Ingredients</x:v>
      </x:c>
      <x:c r="E382" s="1" t="str">
        <x:v>Buyer 1</x:v>
      </x:c>
      <x:c r="F382" s="5" t="n">
        <x:v>46144</x:v>
      </x:c>
      <x:c r="G382" s="5" t="n">
        <x:v>46146</x:v>
      </x:c>
      <x:c r="H382" s="5" t="n">
        <x:v>46146</x:v>
      </x:c>
      <x:c r="I382" s="5" t="n">
        <x:v>46157</x:v>
      </x:c>
      <x:c r="J382" s="1" t="n">
        <x:v>3162</x:v>
      </x:c>
      <x:c r="K382" s="6" t="n">
        <x:v>10.28</x:v>
      </x:c>
      <x:c r="L382" s="10" t="n">
        <x:f>J382*K382</x:f>
        <x:v>32505.359999999997</x:v>
      </x:c>
      <x:c r="M382" t="n">
        <x:f>G382-F382</x:f>
        <x:v>2</x:v>
      </x:c>
      <x:c r="N382" t="n">
        <x:f>H382-F382</x:f>
        <x:v>2</x:v>
      </x:c>
    </x:row>
    <x:row r="383">
      <x:c r="A383" s="1" t="str">
        <x:v>PO0382</x:v>
      </x:c>
      <x:c r="B383" s="1" t="str">
        <x:v>SUP06</x:v>
      </x:c>
      <x:c r="C383" s="1" t="str">
        <x:v>Costa Rica</x:v>
      </x:c>
      <x:c r="D383" s="1" t="str">
        <x:v>Maintenance services</x:v>
      </x:c>
      <x:c r="E383" s="1" t="str">
        <x:v>Buyer 2</x:v>
      </x:c>
      <x:c r="F383" s="5" t="n">
        <x:v>46169</x:v>
      </x:c>
      <x:c r="G383" s="5" t="n">
        <x:v>46170</x:v>
      </x:c>
      <x:c r="H383" s="5" t="n">
        <x:v>46171</x:v>
      </x:c>
      <x:c r="I383" s="5" t="n">
        <x:v>46188</x:v>
      </x:c>
      <x:c r="J383" s="1" t="n">
        <x:v>2841</x:v>
      </x:c>
      <x:c r="K383" s="6" t="n">
        <x:v>4.79</x:v>
      </x:c>
      <x:c r="L383" s="10" t="n">
        <x:f>J383*K383</x:f>
        <x:v>13608.39</x:v>
      </x:c>
      <x:c r="M383" t="n">
        <x:f>G383-F383</x:f>
        <x:v>1</x:v>
      </x:c>
      <x:c r="N383" t="n">
        <x:f>H383-F383</x:f>
        <x:v>2</x:v>
      </x:c>
    </x:row>
    <x:row r="384">
      <x:c r="A384" s="1" t="str">
        <x:v>PO0383</x:v>
      </x:c>
      <x:c r="B384" s="1" t="str">
        <x:v>SUP06</x:v>
      </x:c>
      <x:c r="C384" s="1" t="str">
        <x:v>Guatemala</x:v>
      </x:c>
      <x:c r="D384" s="1" t="str">
        <x:v>Maintenance services</x:v>
      </x:c>
      <x:c r="E384" s="1" t="str">
        <x:v>Buyer 3</x:v>
      </x:c>
      <x:c r="F384" s="5" t="n">
        <x:v>46256</x:v>
      </x:c>
      <x:c r="G384" s="5" t="n">
        <x:v>46257</x:v>
      </x:c>
      <x:c r="H384" s="5" t="n">
        <x:v>46259</x:v>
      </x:c>
      <x:c r="I384" s="5" t="n">
        <x:v>46267</x:v>
      </x:c>
      <x:c r="J384" s="1" t="n">
        <x:v>3683</x:v>
      </x:c>
      <x:c r="K384" s="6" t="n">
        <x:v>19.42</x:v>
      </x:c>
      <x:c r="L384" s="10" t="n">
        <x:f>J384*K384</x:f>
        <x:v>71523.86</x:v>
      </x:c>
      <x:c r="M384" t="n">
        <x:f>G384-F384</x:f>
        <x:v>1</x:v>
      </x:c>
      <x:c r="N384" t="n">
        <x:f>H384-F384</x:f>
        <x:v>3</x:v>
      </x:c>
    </x:row>
    <x:row r="385">
      <x:c r="A385" s="1" t="str">
        <x:v>PO0384</x:v>
      </x:c>
      <x:c r="B385" s="1" t="str">
        <x:v>SUP01</x:v>
      </x:c>
      <x:c r="C385" s="1" t="str">
        <x:v>Peru</x:v>
      </x:c>
      <x:c r="D385" s="1" t="str">
        <x:v>Packaging</x:v>
      </x:c>
      <x:c r="E385" s="1" t="str">
        <x:v>Buyer 4</x:v>
      </x:c>
      <x:c r="F385" s="5" t="n">
        <x:v>46197</x:v>
      </x:c>
      <x:c r="G385" s="5" t="n">
        <x:v>46201</x:v>
      </x:c>
      <x:c r="H385" s="5" t="n">
        <x:v>46202</x:v>
      </x:c>
      <x:c r="I385" s="5" t="n">
        <x:v>46216</x:v>
      </x:c>
      <x:c r="J385" s="1" t="n">
        <x:v>3717</x:v>
      </x:c>
      <x:c r="K385" s="6" t="n">
        <x:v>18.62</x:v>
      </x:c>
      <x:c r="L385" s="10" t="n">
        <x:f>J385*K385</x:f>
        <x:v>69210.54000000001</x:v>
      </x:c>
      <x:c r="M385" t="n">
        <x:f>G385-F385</x:f>
        <x:v>4</x:v>
      </x:c>
      <x:c r="N385" t="n">
        <x:f>H385-F385</x:f>
        <x:v>5</x:v>
      </x:c>
    </x:row>
    <x:row r="386">
      <x:c r="A386" s="1" t="str">
        <x:v>PO0385</x:v>
      </x:c>
      <x:c r="B386" s="1" t="str">
        <x:v>SUP11</x:v>
      </x:c>
      <x:c r="C386" s="1" t="str">
        <x:v>Chile</x:v>
      </x:c>
      <x:c r="D386" s="1" t="str">
        <x:v>Ingredients</x:v>
      </x:c>
      <x:c r="E386" s="1" t="str">
        <x:v>Buyer 1</x:v>
      </x:c>
      <x:c r="F386" s="5" t="n">
        <x:v>46105</x:v>
      </x:c>
      <x:c r="G386" s="5" t="n">
        <x:v>46106</x:v>
      </x:c>
      <x:c r="H386" s="5" t="n">
        <x:v>46108</x:v>
      </x:c>
      <x:c r="I386" s="5" t="n">
        <x:v>46115</x:v>
      </x:c>
      <x:c r="J386" s="1" t="n">
        <x:v>853</x:v>
      </x:c>
      <x:c r="K386" s="6" t="n">
        <x:v>11.86</x:v>
      </x:c>
      <x:c r="L386" s="10" t="n">
        <x:f>J386*K386</x:f>
        <x:v>10116.58</x:v>
      </x:c>
      <x:c r="M386" t="n">
        <x:f>G386-F386</x:f>
        <x:v>1</x:v>
      </x:c>
      <x:c r="N386" t="n">
        <x:f>H386-F386</x:f>
        <x:v>3</x:v>
      </x:c>
    </x:row>
    <x:row r="387">
      <x:c r="A387" s="1" t="str">
        <x:v>PO0386</x:v>
      </x:c>
      <x:c r="B387" s="1" t="str">
        <x:v>SUP07</x:v>
      </x:c>
      <x:c r="C387" s="1" t="str">
        <x:v>Panama</x:v>
      </x:c>
      <x:c r="D387" s="1" t="str">
        <x:v>Packaging</x:v>
      </x:c>
      <x:c r="E387" s="1" t="str">
        <x:v>Buyer 2</x:v>
      </x:c>
      <x:c r="F387" s="5" t="n">
        <x:v>46137</x:v>
      </x:c>
      <x:c r="G387" s="5" t="n">
        <x:v>46141</x:v>
      </x:c>
      <x:c r="H387" s="5" t="n">
        <x:v>46142</x:v>
      </x:c>
      <x:c r="I387" s="5" t="n">
        <x:v>46151</x:v>
      </x:c>
      <x:c r="J387" s="1" t="n">
        <x:v>2505</x:v>
      </x:c>
      <x:c r="K387" s="6" t="n">
        <x:v>17.92</x:v>
      </x:c>
      <x:c r="L387" s="10" t="n">
        <x:f>J387*K387</x:f>
        <x:v>44889.600000000006</x:v>
      </x:c>
      <x:c r="M387" t="n">
        <x:f>G387-F387</x:f>
        <x:v>4</x:v>
      </x:c>
      <x:c r="N387" t="n">
        <x:f>H387-F387</x:f>
        <x:v>5</x:v>
      </x:c>
    </x:row>
    <x:row r="388">
      <x:c r="A388" s="1" t="str">
        <x:v>PO0387</x:v>
      </x:c>
      <x:c r="B388" s="1" t="str">
        <x:v>SUP05</x:v>
      </x:c>
      <x:c r="C388" s="1" t="str">
        <x:v>Mexico</x:v>
      </x:c>
      <x:c r="D388" s="1" t="str">
        <x:v>Ingredients</x:v>
      </x:c>
      <x:c r="E388" s="1" t="str">
        <x:v>Buyer 3</x:v>
      </x:c>
      <x:c r="F388" s="5" t="n">
        <x:v>46204</x:v>
      </x:c>
      <x:c r="G388" s="5" t="n">
        <x:v>46209</x:v>
      </x:c>
      <x:c r="H388" s="5" t="n">
        <x:v>46211</x:v>
      </x:c>
      <x:c r="I388" s="5" t="n">
        <x:v>46228</x:v>
      </x:c>
      <x:c r="J388" s="1" t="n">
        <x:v>1670</x:v>
      </x:c>
      <x:c r="K388" s="6" t="n">
        <x:v>20.8</x:v>
      </x:c>
      <x:c r="L388" s="10" t="n">
        <x:f>J388*K388</x:f>
        <x:v>34736</x:v>
      </x:c>
      <x:c r="M388" t="n">
        <x:f>G388-F388</x:f>
        <x:v>5</x:v>
      </x:c>
      <x:c r="N388" t="n">
        <x:f>H388-F388</x:f>
        <x:v>7</x:v>
      </x:c>
    </x:row>
    <x:row r="389">
      <x:c r="A389" s="1" t="str">
        <x:v>PO0388</x:v>
      </x:c>
      <x:c r="B389" s="1" t="str">
        <x:v>SUP10</x:v>
      </x:c>
      <x:c r="C389" s="1" t="str">
        <x:v>Colombia</x:v>
      </x:c>
      <x:c r="D389" s="1" t="str">
        <x:v>Packaging</x:v>
      </x:c>
      <x:c r="E389" s="1" t="str">
        <x:v>Buyer 4</x:v>
      </x:c>
      <x:c r="F389" s="5" t="n">
        <x:v>46262</x:v>
      </x:c>
      <x:c r="G389" s="5" t="n">
        <x:v>46266</x:v>
      </x:c>
      <x:c r="H389" s="5" t="n">
        <x:v>46267</x:v>
      </x:c>
      <x:c r="I389" s="5" t="n">
        <x:v>46283</x:v>
      </x:c>
      <x:c r="J389" s="1" t="n">
        <x:v>4445</x:v>
      </x:c>
      <x:c r="K389" s="6" t="n">
        <x:v>3.4</x:v>
      </x:c>
      <x:c r="L389" s="10" t="n">
        <x:f>J389*K389</x:f>
        <x:v>15113</x:v>
      </x:c>
      <x:c r="M389" t="n">
        <x:f>G389-F389</x:f>
        <x:v>4</x:v>
      </x:c>
      <x:c r="N389" t="n">
        <x:f>H389-F389</x:f>
        <x:v>5</x:v>
      </x:c>
    </x:row>
    <x:row r="390">
      <x:c r="A390" s="1" t="str">
        <x:v>PO0389</x:v>
      </x:c>
      <x:c r="B390" s="1" t="str">
        <x:v>SUP13</x:v>
      </x:c>
      <x:c r="C390" s="1" t="str">
        <x:v>Costa Rica</x:v>
      </x:c>
      <x:c r="D390" s="1" t="str">
        <x:v>Packaging</x:v>
      </x:c>
      <x:c r="E390" s="1" t="str">
        <x:v>Buyer 1</x:v>
      </x:c>
      <x:c r="F390" s="5" t="n">
        <x:v>46132</x:v>
      </x:c>
      <x:c r="G390" s="5" t="n">
        <x:v>46135</x:v>
      </x:c>
      <x:c r="H390" s="5" t="n">
        <x:v>46137</x:v>
      </x:c>
      <x:c r="I390" s="5" t="n">
        <x:v>46147</x:v>
      </x:c>
      <x:c r="J390" s="1" t="n">
        <x:v>600</x:v>
      </x:c>
      <x:c r="K390" s="6" t="n">
        <x:v>15.75</x:v>
      </x:c>
      <x:c r="L390" s="10" t="n">
        <x:f>J390*K390</x:f>
        <x:v>9450</x:v>
      </x:c>
      <x:c r="M390" t="n">
        <x:f>G390-F390</x:f>
        <x:v>3</x:v>
      </x:c>
      <x:c r="N390" t="n">
        <x:f>H390-F390</x:f>
        <x:v>5</x:v>
      </x:c>
    </x:row>
    <x:row r="391">
      <x:c r="A391" s="1" t="str">
        <x:v>PO0390</x:v>
      </x:c>
      <x:c r="B391" s="1" t="str">
        <x:v>SUP13</x:v>
      </x:c>
      <x:c r="C391" s="1" t="str">
        <x:v>Guatemala</x:v>
      </x:c>
      <x:c r="D391" s="1" t="str">
        <x:v>Packaging</x:v>
      </x:c>
      <x:c r="E391" s="1" t="str">
        <x:v>Buyer 2</x:v>
      </x:c>
      <x:c r="F391" s="5" t="n">
        <x:v>46223</x:v>
      </x:c>
      <x:c r="G391" s="5" t="n">
        <x:v>46224</x:v>
      </x:c>
      <x:c r="H391" s="5" t="n">
        <x:v>46224</x:v>
      </x:c>
      <x:c r="I391" s="5" t="n">
        <x:v>46247</x:v>
      </x:c>
      <x:c r="J391" s="1" t="n">
        <x:v>259</x:v>
      </x:c>
      <x:c r="K391" s="6" t="n">
        <x:v>23.84</x:v>
      </x:c>
      <x:c r="L391" s="10" t="n">
        <x:f>J391*K391</x:f>
        <x:v>6174.56</x:v>
      </x:c>
      <x:c r="M391" t="n">
        <x:f>G391-F391</x:f>
        <x:v>1</x:v>
      </x:c>
      <x:c r="N391" t="n">
        <x:f>H391-F391</x:f>
        <x:v>1</x:v>
      </x:c>
    </x:row>
    <x:row r="392">
      <x:c r="A392" s="1" t="str">
        <x:v>PO0391</x:v>
      </x:c>
      <x:c r="B392" s="1" t="str">
        <x:v>SUP04</x:v>
      </x:c>
      <x:c r="C392" s="1" t="str">
        <x:v>Peru</x:v>
      </x:c>
      <x:c r="D392" s="1" t="str">
        <x:v>Packaging</x:v>
      </x:c>
      <x:c r="E392" s="1" t="str">
        <x:v>Buyer 3</x:v>
      </x:c>
      <x:c r="F392" s="5" t="n">
        <x:v>46251</x:v>
      </x:c>
      <x:c r="G392" s="5" t="n">
        <x:v>46255</x:v>
      </x:c>
      <x:c r="H392" s="5" t="n">
        <x:v>46256</x:v>
      </x:c>
      <x:c r="I392" s="5" t="n">
        <x:v>46266</x:v>
      </x:c>
      <x:c r="J392" s="1" t="n">
        <x:v>1221</x:v>
      </x:c>
      <x:c r="K392" s="6" t="n">
        <x:v>11.25</x:v>
      </x:c>
      <x:c r="L392" s="10" t="n">
        <x:f>J392*K392</x:f>
        <x:v>13736.25</x:v>
      </x:c>
      <x:c r="M392" t="n">
        <x:f>G392-F392</x:f>
        <x:v>4</x:v>
      </x:c>
      <x:c r="N392" t="n">
        <x:f>H392-F392</x:f>
        <x:v>5</x:v>
      </x:c>
    </x:row>
    <x:row r="393">
      <x:c r="A393" s="1" t="str">
        <x:v>PO0392</x:v>
      </x:c>
      <x:c r="B393" s="1" t="str">
        <x:v>SUP05</x:v>
      </x:c>
      <x:c r="C393" s="1" t="str">
        <x:v>Chile</x:v>
      </x:c>
      <x:c r="D393" s="1" t="str">
        <x:v>Ingredients</x:v>
      </x:c>
      <x:c r="E393" s="1" t="str">
        <x:v>Buyer 4</x:v>
      </x:c>
      <x:c r="F393" s="5" t="n">
        <x:v>46260</x:v>
      </x:c>
      <x:c r="G393" s="5" t="n">
        <x:v>46263</x:v>
      </x:c>
      <x:c r="H393" s="5" t="n">
        <x:v>46265</x:v>
      </x:c>
      <x:c r="I393" s="5" t="n">
        <x:v>46280</x:v>
      </x:c>
      <x:c r="J393" s="1" t="n">
        <x:v>2640</x:v>
      </x:c>
      <x:c r="K393" s="6" t="n">
        <x:v>19.72</x:v>
      </x:c>
      <x:c r="L393" s="10" t="n">
        <x:f>J393*K393</x:f>
        <x:v>52060.799999999996</x:v>
      </x:c>
      <x:c r="M393" t="n">
        <x:f>G393-F393</x:f>
        <x:v>3</x:v>
      </x:c>
      <x:c r="N393" t="n">
        <x:f>H393-F393</x:f>
        <x:v>5</x:v>
      </x:c>
    </x:row>
    <x:row r="394">
      <x:c r="A394" s="1" t="str">
        <x:v>PO0393</x:v>
      </x:c>
      <x:c r="B394" s="1" t="str">
        <x:v>SUP07</x:v>
      </x:c>
      <x:c r="C394" s="1" t="str">
        <x:v>Panama</x:v>
      </x:c>
      <x:c r="D394" s="1" t="str">
        <x:v>Packaging</x:v>
      </x:c>
      <x:c r="E394" s="1" t="str">
        <x:v>Buyer 1</x:v>
      </x:c>
      <x:c r="F394" s="5" t="n">
        <x:v>46167</x:v>
      </x:c>
      <x:c r="G394" s="5" t="n">
        <x:v>46168</x:v>
      </x:c>
      <x:c r="H394" s="5" t="n">
        <x:v>46170</x:v>
      </x:c>
      <x:c r="I394" s="5" t="n">
        <x:v>46179</x:v>
      </x:c>
      <x:c r="J394" s="1" t="n">
        <x:v>2474</x:v>
      </x:c>
      <x:c r="K394" s="6" t="n">
        <x:v>23.55</x:v>
      </x:c>
      <x:c r="L394" s="10" t="n">
        <x:f>J394*K394</x:f>
        <x:v>58262.700000000004</x:v>
      </x:c>
      <x:c r="M394" t="n">
        <x:f>G394-F394</x:f>
        <x:v>1</x:v>
      </x:c>
      <x:c r="N394" t="n">
        <x:f>H394-F394</x:f>
        <x:v>3</x:v>
      </x:c>
    </x:row>
    <x:row r="395">
      <x:c r="A395" s="1" t="str">
        <x:v>PO0394</x:v>
      </x:c>
      <x:c r="B395" s="1" t="str">
        <x:v>SUP13</x:v>
      </x:c>
      <x:c r="C395" s="1" t="str">
        <x:v>Mexico</x:v>
      </x:c>
      <x:c r="D395" s="1" t="str">
        <x:v>Packaging</x:v>
      </x:c>
      <x:c r="E395" s="1" t="str">
        <x:v>Buyer 2</x:v>
      </x:c>
      <x:c r="F395" s="5" t="n">
        <x:v>46062</x:v>
      </x:c>
      <x:c r="G395" s="5" t="n">
        <x:v>46065</x:v>
      </x:c>
      <x:c r="H395" s="5" t="n">
        <x:v>46067</x:v>
      </x:c>
      <x:c r="I395" s="5" t="n">
        <x:v>46076</x:v>
      </x:c>
      <x:c r="J395" s="1" t="n">
        <x:v>663</x:v>
      </x:c>
      <x:c r="K395" s="6" t="n">
        <x:v>24.31</x:v>
      </x:c>
      <x:c r="L395" s="10" t="n">
        <x:f>J395*K395</x:f>
        <x:v>16117.529999999999</x:v>
      </x:c>
      <x:c r="M395" t="n">
        <x:f>G395-F395</x:f>
        <x:v>3</x:v>
      </x:c>
      <x:c r="N395" t="n">
        <x:f>H395-F395</x:f>
        <x:v>5</x:v>
      </x:c>
    </x:row>
    <x:row r="396">
      <x:c r="A396" s="1" t="str">
        <x:v>PO0395</x:v>
      </x:c>
      <x:c r="B396" s="1" t="str">
        <x:v>SUP07</x:v>
      </x:c>
      <x:c r="C396" s="1" t="str">
        <x:v>Colombia</x:v>
      </x:c>
      <x:c r="D396" s="1" t="str">
        <x:v>Packaging</x:v>
      </x:c>
      <x:c r="E396" s="1" t="str">
        <x:v>Buyer 3</x:v>
      </x:c>
      <x:c r="F396" s="5" t="n">
        <x:v>46198</x:v>
      </x:c>
      <x:c r="G396" s="5" t="n">
        <x:v>46199</x:v>
      </x:c>
      <x:c r="H396" s="5" t="n">
        <x:v>46201</x:v>
      </x:c>
      <x:c r="I396" s="5" t="n">
        <x:v>46226</x:v>
      </x:c>
      <x:c r="J396" s="1" t="n">
        <x:v>2191</x:v>
      </x:c>
      <x:c r="K396" s="6" t="n">
        <x:v>22.52</x:v>
      </x:c>
      <x:c r="L396" s="10" t="n">
        <x:f>J396*K396</x:f>
        <x:v>49341.32</x:v>
      </x:c>
      <x:c r="M396" t="n">
        <x:f>G396-F396</x:f>
        <x:v>1</x:v>
      </x:c>
      <x:c r="N396" t="n">
        <x:f>H396-F396</x:f>
        <x:v>3</x:v>
      </x:c>
    </x:row>
    <x:row r="397">
      <x:c r="A397" s="1" t="str">
        <x:v>PO0396</x:v>
      </x:c>
      <x:c r="B397" s="1" t="str">
        <x:v>SUP07</x:v>
      </x:c>
      <x:c r="C397" s="1" t="str">
        <x:v>Costa Rica</x:v>
      </x:c>
      <x:c r="D397" s="1" t="str">
        <x:v>Packaging</x:v>
      </x:c>
      <x:c r="E397" s="1" t="str">
        <x:v>Buyer 4</x:v>
      </x:c>
      <x:c r="F397" s="5" t="n">
        <x:v>46246</x:v>
      </x:c>
      <x:c r="G397" s="5" t="n">
        <x:v>46251</x:v>
      </x:c>
      <x:c r="H397" s="5" t="n">
        <x:v>46253</x:v>
      </x:c>
      <x:c r="I397" s="5" t="n">
        <x:v>46278</x:v>
      </x:c>
      <x:c r="J397" s="1" t="n">
        <x:v>491</x:v>
      </x:c>
      <x:c r="K397" s="6" t="n">
        <x:v>18.79</x:v>
      </x:c>
      <x:c r="L397" s="10" t="n">
        <x:f>J397*K397</x:f>
        <x:v>9225.89</x:v>
      </x:c>
      <x:c r="M397" t="n">
        <x:f>G397-F397</x:f>
        <x:v>5</x:v>
      </x:c>
      <x:c r="N397" t="n">
        <x:f>H397-F397</x:f>
        <x:v>7</x:v>
      </x:c>
    </x:row>
    <x:row r="398">
      <x:c r="A398" s="1" t="str">
        <x:v>PO0397</x:v>
      </x:c>
      <x:c r="B398" s="1" t="str">
        <x:v>SUP14</x:v>
      </x:c>
      <x:c r="C398" s="1" t="str">
        <x:v>Guatemala</x:v>
      </x:c>
      <x:c r="D398" s="1" t="str">
        <x:v>Ingredients</x:v>
      </x:c>
      <x:c r="E398" s="1" t="str">
        <x:v>Buyer 1</x:v>
      </x:c>
      <x:c r="F398" s="5" t="n">
        <x:v>46166</x:v>
      </x:c>
      <x:c r="G398" s="5" t="n">
        <x:v>46169</x:v>
      </x:c>
      <x:c r="H398" s="5" t="n">
        <x:v>46170</x:v>
      </x:c>
      <x:c r="I398" s="5" t="n">
        <x:v>46184</x:v>
      </x:c>
      <x:c r="J398" s="1" t="n">
        <x:v>970</x:v>
      </x:c>
      <x:c r="K398" s="6" t="n">
        <x:v>23.25</x:v>
      </x:c>
      <x:c r="L398" s="10" t="n">
        <x:f>J398*K398</x:f>
        <x:v>22552.5</x:v>
      </x:c>
      <x:c r="M398" t="n">
        <x:f>G398-F398</x:f>
        <x:v>3</x:v>
      </x:c>
      <x:c r="N398" t="n">
        <x:f>H398-F398</x:f>
        <x:v>4</x:v>
      </x:c>
    </x:row>
    <x:row r="399">
      <x:c r="A399" s="1" t="str">
        <x:v>PO0398</x:v>
      </x:c>
      <x:c r="B399" s="1" t="str">
        <x:v>SUP10</x:v>
      </x:c>
      <x:c r="C399" s="1" t="str">
        <x:v>Peru</x:v>
      </x:c>
      <x:c r="D399" s="1" t="str">
        <x:v>Packaging</x:v>
      </x:c>
      <x:c r="E399" s="1" t="str">
        <x:v>Buyer 2</x:v>
      </x:c>
      <x:c r="F399" s="5" t="n">
        <x:v>46256</x:v>
      </x:c>
      <x:c r="G399" s="5" t="n">
        <x:v>46260</x:v>
      </x:c>
      <x:c r="H399" s="5" t="n">
        <x:v>46260</x:v>
      </x:c>
      <x:c r="I399" s="5" t="n">
        <x:v>46278</x:v>
      </x:c>
      <x:c r="J399" s="1" t="n">
        <x:v>470</x:v>
      </x:c>
      <x:c r="K399" s="6" t="n">
        <x:v>11.61</x:v>
      </x:c>
      <x:c r="L399" s="10" t="n">
        <x:f>J399*K399</x:f>
        <x:v>5456.7</x:v>
      </x:c>
      <x:c r="M399" t="n">
        <x:f>G399-F399</x:f>
        <x:v>4</x:v>
      </x:c>
      <x:c r="N399" t="n">
        <x:f>H399-F399</x:f>
        <x:v>4</x:v>
      </x:c>
    </x:row>
    <x:row r="400">
      <x:c r="A400" s="1" t="str">
        <x:v>PO0399</x:v>
      </x:c>
      <x:c r="B400" s="1" t="str">
        <x:v>SUP05</x:v>
      </x:c>
      <x:c r="C400" s="1" t="str">
        <x:v>Chile</x:v>
      </x:c>
      <x:c r="D400" s="1" t="str">
        <x:v>Ingredients</x:v>
      </x:c>
      <x:c r="E400" s="1" t="str">
        <x:v>Buyer 3</x:v>
      </x:c>
      <x:c r="F400" s="5" t="n">
        <x:v>46232</x:v>
      </x:c>
      <x:c r="G400" s="5" t="n">
        <x:v>46237</x:v>
      </x:c>
      <x:c r="H400" s="5" t="n">
        <x:v>46239</x:v>
      </x:c>
      <x:c r="I400" s="5" t="n">
        <x:v>46250</x:v>
      </x:c>
      <x:c r="J400" s="1" t="n">
        <x:v>3129</x:v>
      </x:c>
      <x:c r="K400" s="6" t="n">
        <x:v>8.83</x:v>
      </x:c>
      <x:c r="L400" s="10" t="n">
        <x:f>J400*K400</x:f>
        <x:v>27629.07</x:v>
      </x:c>
      <x:c r="M400" t="n">
        <x:f>G400-F400</x:f>
        <x:v>5</x:v>
      </x:c>
      <x:c r="N400" t="n">
        <x:f>H400-F400</x:f>
        <x:v>7</x:v>
      </x:c>
    </x:row>
    <x:row r="401">
      <x:c r="A401" s="1" t="str">
        <x:v>PO0400</x:v>
      </x:c>
      <x:c r="B401" s="1" t="str">
        <x:v>SUP02</x:v>
      </x:c>
      <x:c r="C401" s="1" t="str">
        <x:v>Panama</x:v>
      </x:c>
      <x:c r="D401" s="1" t="str">
        <x:v>Ingredients</x:v>
      </x:c>
      <x:c r="E401" s="1" t="str">
        <x:v>Buyer 4</x:v>
      </x:c>
      <x:c r="F401" s="5" t="n">
        <x:v>46276</x:v>
      </x:c>
      <x:c r="G401" s="5" t="n">
        <x:v>46278</x:v>
      </x:c>
      <x:c r="H401" s="5" t="n">
        <x:v>46278</x:v>
      </x:c>
      <x:c r="I401" s="5" t="n">
        <x:v>46296</x:v>
      </x:c>
      <x:c r="J401" s="1" t="n">
        <x:v>4150</x:v>
      </x:c>
      <x:c r="K401" s="6" t="n">
        <x:v>15.79</x:v>
      </x:c>
      <x:c r="L401" s="10" t="n">
        <x:f>J401*K401</x:f>
        <x:v>65528.5</x:v>
      </x:c>
      <x:c r="M401" t="n">
        <x:f>G401-F401</x:f>
        <x:v>2</x:v>
      </x:c>
      <x:c r="N401" t="n">
        <x:f>H401-F401</x:f>
        <x:v>2</x:v>
      </x:c>
    </x:row>
    <x:row r="402">
      <x:c r="A402" s="1" t="str">
        <x:v>PO0401</x:v>
      </x:c>
      <x:c r="B402" s="1" t="str">
        <x:v>SUP06</x:v>
      </x:c>
      <x:c r="C402" s="1" t="str">
        <x:v>Mexico</x:v>
      </x:c>
      <x:c r="D402" s="1" t="str">
        <x:v>Maintenance services</x:v>
      </x:c>
      <x:c r="E402" s="1" t="str">
        <x:v>Buyer 1</x:v>
      </x:c>
      <x:c r="F402" s="5" t="n">
        <x:v>46084</x:v>
      </x:c>
      <x:c r="G402" s="5" t="n">
        <x:v>46086</x:v>
      </x:c>
      <x:c r="H402" s="5" t="n">
        <x:v>46087</x:v>
      </x:c>
      <x:c r="I402" s="5" t="n">
        <x:v>46108</x:v>
      </x:c>
      <x:c r="J402" s="1" t="n">
        <x:v>4948</x:v>
      </x:c>
      <x:c r="K402" s="6" t="n">
        <x:v>21.38</x:v>
      </x:c>
      <x:c r="L402" s="10" t="n">
        <x:f>J402*K402</x:f>
        <x:v>105788.23999999999</x:v>
      </x:c>
      <x:c r="M402" t="n">
        <x:f>G402-F402</x:f>
        <x:v>2</x:v>
      </x:c>
      <x:c r="N402" t="n">
        <x:f>H402-F402</x:f>
        <x:v>3</x:v>
      </x:c>
    </x:row>
    <x:row r="403">
      <x:c r="A403" s="1" t="str">
        <x:v>PO0402</x:v>
      </x:c>
      <x:c r="B403" s="1" t="str">
        <x:v>SUP07</x:v>
      </x:c>
      <x:c r="C403" s="1" t="str">
        <x:v>Colombia</x:v>
      </x:c>
      <x:c r="D403" s="1" t="str">
        <x:v>Packaging</x:v>
      </x:c>
      <x:c r="E403" s="1" t="str">
        <x:v>Buyer 2</x:v>
      </x:c>
      <x:c r="F403" s="5" t="n">
        <x:v>46123</x:v>
      </x:c>
      <x:c r="G403" s="5" t="n">
        <x:v>46124</x:v>
      </x:c>
      <x:c r="H403" s="5" t="n">
        <x:v>46124</x:v>
      </x:c>
      <x:c r="I403" s="5" t="n">
        <x:v>46136</x:v>
      </x:c>
      <x:c r="J403" s="1" t="n">
        <x:v>4857</x:v>
      </x:c>
      <x:c r="K403" s="6" t="n">
        <x:v>22.56</x:v>
      </x:c>
      <x:c r="L403" s="10" t="n">
        <x:f>J403*K403</x:f>
        <x:v>109573.92</x:v>
      </x:c>
      <x:c r="M403" t="n">
        <x:f>G403-F403</x:f>
        <x:v>1</x:v>
      </x:c>
      <x:c r="N403" t="n">
        <x:f>H403-F403</x:f>
        <x:v>1</x:v>
      </x:c>
    </x:row>
    <x:row r="404">
      <x:c r="A404" s="1" t="str">
        <x:v>PO0403</x:v>
      </x:c>
      <x:c r="B404" s="1" t="str">
        <x:v>SUP10</x:v>
      </x:c>
      <x:c r="C404" s="1" t="str">
        <x:v>Costa Rica</x:v>
      </x:c>
      <x:c r="D404" s="1" t="str">
        <x:v>Packaging</x:v>
      </x:c>
      <x:c r="E404" s="1" t="str">
        <x:v>Buyer 3</x:v>
      </x:c>
      <x:c r="F404" s="5" t="n">
        <x:v>46150</x:v>
      </x:c>
      <x:c r="G404" s="5" t="n">
        <x:v>46152</x:v>
      </x:c>
      <x:c r="H404" s="5" t="n">
        <x:v>46154</x:v>
      </x:c>
      <x:c r="I404" s="5" t="n">
        <x:v>46176</x:v>
      </x:c>
      <x:c r="J404" s="1" t="n">
        <x:v>282</x:v>
      </x:c>
      <x:c r="K404" s="6" t="n">
        <x:v>17.75</x:v>
      </x:c>
      <x:c r="L404" s="10" t="n">
        <x:f>J404*K404</x:f>
        <x:v>5005.5</x:v>
      </x:c>
      <x:c r="M404" t="n">
        <x:f>G404-F404</x:f>
        <x:v>2</x:v>
      </x:c>
      <x:c r="N404" t="n">
        <x:f>H404-F404</x:f>
        <x:v>4</x:v>
      </x:c>
    </x:row>
    <x:row r="405">
      <x:c r="A405" s="1" t="str">
        <x:v>PO0404</x:v>
      </x:c>
      <x:c r="B405" s="1" t="str">
        <x:v>SUP14</x:v>
      </x:c>
      <x:c r="C405" s="1" t="str">
        <x:v>Guatemala</x:v>
      </x:c>
      <x:c r="D405" s="1" t="str">
        <x:v>Ingredients</x:v>
      </x:c>
      <x:c r="E405" s="1" t="str">
        <x:v>Buyer 4</x:v>
      </x:c>
      <x:c r="F405" s="5" t="n">
        <x:v>46246</x:v>
      </x:c>
      <x:c r="G405" s="5" t="n">
        <x:v>46250</x:v>
      </x:c>
      <x:c r="H405" s="5" t="n">
        <x:v>46252</x:v>
      </x:c>
      <x:c r="I405" s="5" t="n">
        <x:v>46277</x:v>
      </x:c>
      <x:c r="J405" s="1" t="n">
        <x:v>2753</x:v>
      </x:c>
      <x:c r="K405" s="6" t="n">
        <x:v>11.05</x:v>
      </x:c>
      <x:c r="L405" s="10" t="n">
        <x:f>J405*K405</x:f>
        <x:v>30420.65</x:v>
      </x:c>
      <x:c r="M405" t="n">
        <x:f>G405-F405</x:f>
        <x:v>4</x:v>
      </x:c>
      <x:c r="N405" t="n">
        <x:f>H405-F405</x:f>
        <x:v>6</x:v>
      </x:c>
    </x:row>
    <x:row r="406">
      <x:c r="A406" s="1" t="str">
        <x:v>PO0405</x:v>
      </x:c>
      <x:c r="B406" s="1" t="str">
        <x:v>SUP02</x:v>
      </x:c>
      <x:c r="C406" s="1" t="str">
        <x:v>Peru</x:v>
      </x:c>
      <x:c r="D406" s="1" t="str">
        <x:v>Ingredients</x:v>
      </x:c>
      <x:c r="E406" s="1" t="str">
        <x:v>Buyer 1</x:v>
      </x:c>
      <x:c r="F406" s="5" t="n">
        <x:v>46185</x:v>
      </x:c>
      <x:c r="G406" s="5" t="n">
        <x:v>46189</x:v>
      </x:c>
      <x:c r="H406" s="5" t="n">
        <x:v>46190</x:v>
      </x:c>
      <x:c r="I406" s="5" t="n">
        <x:v>46204</x:v>
      </x:c>
      <x:c r="J406" s="1" t="n">
        <x:v>3189</x:v>
      </x:c>
      <x:c r="K406" s="6" t="n">
        <x:v>14.43</x:v>
      </x:c>
      <x:c r="L406" s="10" t="n">
        <x:f>J406*K406</x:f>
        <x:v>46017.27</x:v>
      </x:c>
      <x:c r="M406" t="n">
        <x:f>G406-F406</x:f>
        <x:v>4</x:v>
      </x:c>
      <x:c r="N406" t="n">
        <x:f>H406-F406</x:f>
        <x:v>5</x:v>
      </x:c>
    </x:row>
    <x:row r="407">
      <x:c r="A407" s="1" t="str">
        <x:v>PO0406</x:v>
      </x:c>
      <x:c r="B407" s="1" t="str">
        <x:v>SUP06</x:v>
      </x:c>
      <x:c r="C407" s="1" t="str">
        <x:v>Chile</x:v>
      </x:c>
      <x:c r="D407" s="1" t="str">
        <x:v>Maintenance services</x:v>
      </x:c>
      <x:c r="E407" s="1" t="str">
        <x:v>Buyer 2</x:v>
      </x:c>
      <x:c r="F407" s="5" t="n">
        <x:v>46094</x:v>
      </x:c>
      <x:c r="G407" s="5" t="n">
        <x:v>46099</x:v>
      </x:c>
      <x:c r="H407" s="5" t="n">
        <x:v>46101</x:v>
      </x:c>
      <x:c r="I407" s="5" t="n">
        <x:v>46125</x:v>
      </x:c>
      <x:c r="J407" s="1" t="n">
        <x:v>698</x:v>
      </x:c>
      <x:c r="K407" s="6" t="n">
        <x:v>11.85</x:v>
      </x:c>
      <x:c r="L407" s="10" t="n">
        <x:f>J407*K407</x:f>
        <x:v>8271.3</x:v>
      </x:c>
      <x:c r="M407" t="n">
        <x:f>G407-F407</x:f>
        <x:v>5</x:v>
      </x:c>
      <x:c r="N407" t="n">
        <x:f>H407-F407</x:f>
        <x:v>7</x:v>
      </x:c>
    </x:row>
    <x:row r="408">
      <x:c r="A408" s="1" t="str">
        <x:v>PO0407</x:v>
      </x:c>
      <x:c r="B408" s="1" t="str">
        <x:v>SUP07</x:v>
      </x:c>
      <x:c r="C408" s="1" t="str">
        <x:v>Panama</x:v>
      </x:c>
      <x:c r="D408" s="1" t="str">
        <x:v>Packaging</x:v>
      </x:c>
      <x:c r="E408" s="1" t="str">
        <x:v>Buyer 3</x:v>
      </x:c>
      <x:c r="F408" s="5" t="n">
        <x:v>46107</x:v>
      </x:c>
      <x:c r="G408" s="5" t="n">
        <x:v>46110</x:v>
      </x:c>
      <x:c r="H408" s="5" t="n">
        <x:v>46111</x:v>
      </x:c>
      <x:c r="I408" s="5" t="n">
        <x:v>46125</x:v>
      </x:c>
      <x:c r="J408" s="1" t="n">
        <x:v>4184</x:v>
      </x:c>
      <x:c r="K408" s="6" t="n">
        <x:v>11.33</x:v>
      </x:c>
      <x:c r="L408" s="10" t="n">
        <x:f>J408*K408</x:f>
        <x:v>47404.72</x:v>
      </x:c>
      <x:c r="M408" t="n">
        <x:f>G408-F408</x:f>
        <x:v>3</x:v>
      </x:c>
      <x:c r="N408" t="n">
        <x:f>H408-F408</x:f>
        <x:v>4</x:v>
      </x:c>
    </x:row>
    <x:row r="409">
      <x:c r="A409" s="1" t="str">
        <x:v>PO0408</x:v>
      </x:c>
      <x:c r="B409" s="1" t="str">
        <x:v>SUP14</x:v>
      </x:c>
      <x:c r="C409" s="1" t="str">
        <x:v>Mexico</x:v>
      </x:c>
      <x:c r="D409" s="1" t="str">
        <x:v>Ingredients</x:v>
      </x:c>
      <x:c r="E409" s="1" t="str">
        <x:v>Buyer 4</x:v>
      </x:c>
      <x:c r="F409" s="5" t="n">
        <x:v>46112</x:v>
      </x:c>
      <x:c r="G409" s="5" t="n">
        <x:v>46116</x:v>
      </x:c>
      <x:c r="H409" s="5" t="n">
        <x:v>46118</x:v>
      </x:c>
      <x:c r="I409" s="5" t="n">
        <x:v>46134</x:v>
      </x:c>
      <x:c r="J409" s="1" t="n">
        <x:v>3669</x:v>
      </x:c>
      <x:c r="K409" s="6" t="n">
        <x:v>15.46</x:v>
      </x:c>
      <x:c r="L409" s="10" t="n">
        <x:f>J409*K409</x:f>
        <x:v>56722.740000000005</x:v>
      </x:c>
      <x:c r="M409" t="n">
        <x:f>G409-F409</x:f>
        <x:v>4</x:v>
      </x:c>
      <x:c r="N409" t="n">
        <x:f>H409-F409</x:f>
        <x:v>6</x:v>
      </x:c>
    </x:row>
    <x:row r="410">
      <x:c r="A410" s="1" t="str">
        <x:v>PO0409</x:v>
      </x:c>
      <x:c r="B410" s="1" t="str">
        <x:v>SUP12</x:v>
      </x:c>
      <x:c r="C410" s="1" t="str">
        <x:v>Colombia</x:v>
      </x:c>
      <x:c r="D410" s="1" t="str">
        <x:v>Maintenance services</x:v>
      </x:c>
      <x:c r="E410" s="1" t="str">
        <x:v>Buyer 1</x:v>
      </x:c>
      <x:c r="F410" s="5" t="n">
        <x:v>46177</x:v>
      </x:c>
      <x:c r="G410" s="5" t="n">
        <x:v>46178</x:v>
      </x:c>
      <x:c r="H410" s="5" t="n">
        <x:v>46180</x:v>
      </x:c>
      <x:c r="I410" s="5" t="n">
        <x:v>46188</x:v>
      </x:c>
      <x:c r="J410" s="1" t="n">
        <x:v>579</x:v>
      </x:c>
      <x:c r="K410" s="6" t="n">
        <x:v>12.24</x:v>
      </x:c>
      <x:c r="L410" s="10" t="n">
        <x:f>J410*K410</x:f>
        <x:v>7086.96</x:v>
      </x:c>
      <x:c r="M410" t="n">
        <x:f>G410-F410</x:f>
        <x:v>1</x:v>
      </x:c>
      <x:c r="N410" t="n">
        <x:f>H410-F410</x:f>
        <x:v>3</x:v>
      </x:c>
    </x:row>
    <x:row r="411">
      <x:c r="A411" s="1" t="str">
        <x:v>PO0410</x:v>
      </x:c>
      <x:c r="B411" s="1" t="str">
        <x:v>SUP14</x:v>
      </x:c>
      <x:c r="C411" s="1" t="str">
        <x:v>Costa Rica</x:v>
      </x:c>
      <x:c r="D411" s="1" t="str">
        <x:v>Ingredients</x:v>
      </x:c>
      <x:c r="E411" s="1" t="str">
        <x:v>Buyer 2</x:v>
      </x:c>
      <x:c r="F411" s="5" t="n">
        <x:v>46136</x:v>
      </x:c>
      <x:c r="G411" s="5" t="n">
        <x:v>46140</x:v>
      </x:c>
      <x:c r="H411" s="5" t="n">
        <x:v>46141</x:v>
      </x:c>
      <x:c r="I411" s="5" t="n">
        <x:v>46159</x:v>
      </x:c>
      <x:c r="J411" s="1" t="n">
        <x:v>1043</x:v>
      </x:c>
      <x:c r="K411" s="6" t="n">
        <x:v>7.31</x:v>
      </x:c>
      <x:c r="L411" s="10" t="n">
        <x:f>J411*K411</x:f>
        <x:v>7624.33</x:v>
      </x:c>
      <x:c r="M411" t="n">
        <x:f>G411-F411</x:f>
        <x:v>4</x:v>
      </x:c>
      <x:c r="N411" t="n">
        <x:f>H411-F411</x:f>
        <x:v>5</x:v>
      </x:c>
    </x:row>
    <x:row r="412">
      <x:c r="A412" s="1" t="str">
        <x:v>PO0411</x:v>
      </x:c>
      <x:c r="B412" s="1" t="str">
        <x:v>SUP11</x:v>
      </x:c>
      <x:c r="C412" s="1" t="str">
        <x:v>Guatemala</x:v>
      </x:c>
      <x:c r="D412" s="1" t="str">
        <x:v>Ingredients</x:v>
      </x:c>
      <x:c r="E412" s="1" t="str">
        <x:v>Buyer 3</x:v>
      </x:c>
      <x:c r="F412" s="5" t="n">
        <x:v>46067</x:v>
      </x:c>
      <x:c r="G412" s="5" t="n">
        <x:v>46068</x:v>
      </x:c>
      <x:c r="H412" s="5" t="n">
        <x:v>46070</x:v>
      </x:c>
      <x:c r="I412" s="5" t="n">
        <x:v>46095</x:v>
      </x:c>
      <x:c r="J412" s="1" t="n">
        <x:v>2296</x:v>
      </x:c>
      <x:c r="K412" s="6" t="n">
        <x:v>10.6</x:v>
      </x:c>
      <x:c r="L412" s="10" t="n">
        <x:f>J412*K412</x:f>
        <x:v>24337.6</x:v>
      </x:c>
      <x:c r="M412" t="n">
        <x:f>G412-F412</x:f>
        <x:v>1</x:v>
      </x:c>
      <x:c r="N412" t="n">
        <x:f>H412-F412</x:f>
        <x:v>3</x:v>
      </x:c>
    </x:row>
    <x:row r="413">
      <x:c r="A413" s="1" t="str">
        <x:v>PO0412</x:v>
      </x:c>
      <x:c r="B413" s="1" t="str">
        <x:v>SUP12</x:v>
      </x:c>
      <x:c r="C413" s="1" t="str">
        <x:v>Peru</x:v>
      </x:c>
      <x:c r="D413" s="1" t="str">
        <x:v>Maintenance services</x:v>
      </x:c>
      <x:c r="E413" s="1" t="str">
        <x:v>Buyer 4</x:v>
      </x:c>
      <x:c r="F413" s="5" t="n">
        <x:v>46193</x:v>
      </x:c>
      <x:c r="G413" s="5" t="n">
        <x:v>46197</x:v>
      </x:c>
      <x:c r="H413" s="5" t="n">
        <x:v>46199</x:v>
      </x:c>
      <x:c r="I413" s="5" t="n">
        <x:v>46216</x:v>
      </x:c>
      <x:c r="J413" s="1" t="n">
        <x:v>1709</x:v>
      </x:c>
      <x:c r="K413" s="6" t="n">
        <x:v>18.95</x:v>
      </x:c>
      <x:c r="L413" s="10" t="n">
        <x:f>J413*K413</x:f>
        <x:v>32385.55</x:v>
      </x:c>
      <x:c r="M413" t="n">
        <x:f>G413-F413</x:f>
        <x:v>4</x:v>
      </x:c>
      <x:c r="N413" t="n">
        <x:f>H413-F413</x:f>
        <x:v>6</x:v>
      </x:c>
    </x:row>
    <x:row r="414">
      <x:c r="A414" s="1" t="str">
        <x:v>PO0413</x:v>
      </x:c>
      <x:c r="B414" s="1" t="str">
        <x:v>SUP05</x:v>
      </x:c>
      <x:c r="C414" s="1" t="str">
        <x:v>Chile</x:v>
      </x:c>
      <x:c r="D414" s="1" t="str">
        <x:v>Ingredients</x:v>
      </x:c>
      <x:c r="E414" s="1" t="str">
        <x:v>Buyer 1</x:v>
      </x:c>
      <x:c r="F414" s="5" t="n">
        <x:v>46197</x:v>
      </x:c>
      <x:c r="G414" s="5" t="n">
        <x:v>46201</x:v>
      </x:c>
      <x:c r="H414" s="5" t="n">
        <x:v>46203</x:v>
      </x:c>
      <x:c r="I414" s="5" t="n">
        <x:v>46213</x:v>
      </x:c>
      <x:c r="J414" s="1" t="n">
        <x:v>4250</x:v>
      </x:c>
      <x:c r="K414" s="6" t="n">
        <x:v>23.9</x:v>
      </x:c>
      <x:c r="L414" s="10" t="n">
        <x:f>J414*K414</x:f>
        <x:v>101575</x:v>
      </x:c>
      <x:c r="M414" t="n">
        <x:f>G414-F414</x:f>
        <x:v>4</x:v>
      </x:c>
      <x:c r="N414" t="n">
        <x:f>H414-F414</x:f>
        <x:v>6</x:v>
      </x:c>
    </x:row>
    <x:row r="415">
      <x:c r="A415" s="1" t="str">
        <x:v>PO0414</x:v>
      </x:c>
      <x:c r="B415" s="1" t="str">
        <x:v>SUP06</x:v>
      </x:c>
      <x:c r="C415" s="1" t="str">
        <x:v>Panama</x:v>
      </x:c>
      <x:c r="D415" s="1" t="str">
        <x:v>Maintenance services</x:v>
      </x:c>
      <x:c r="E415" s="1" t="str">
        <x:v>Buyer 2</x:v>
      </x:c>
      <x:c r="F415" s="5" t="n">
        <x:v>46095</x:v>
      </x:c>
      <x:c r="G415" s="5" t="n">
        <x:v>46097</x:v>
      </x:c>
      <x:c r="H415" s="5" t="n">
        <x:v>46097</x:v>
      </x:c>
      <x:c r="I415" s="5" t="n">
        <x:v>46111</x:v>
      </x:c>
      <x:c r="J415" s="1" t="n">
        <x:v>2594</x:v>
      </x:c>
      <x:c r="K415" s="6" t="n">
        <x:v>21.17</x:v>
      </x:c>
      <x:c r="L415" s="10" t="n">
        <x:f>J415*K415</x:f>
        <x:v>54914.98</x:v>
      </x:c>
      <x:c r="M415" t="n">
        <x:f>G415-F415</x:f>
        <x:v>2</x:v>
      </x:c>
      <x:c r="N415" t="n">
        <x:f>H415-F415</x:f>
        <x:v>2</x:v>
      </x:c>
    </x:row>
    <x:row r="416">
      <x:c r="A416" s="1" t="str">
        <x:v>PO0415</x:v>
      </x:c>
      <x:c r="B416" s="1" t="str">
        <x:v>SUP07</x:v>
      </x:c>
      <x:c r="C416" s="1" t="str">
        <x:v>Mexico</x:v>
      </x:c>
      <x:c r="D416" s="1" t="str">
        <x:v>Packaging</x:v>
      </x:c>
      <x:c r="E416" s="1" t="str">
        <x:v>Buyer 3</x:v>
      </x:c>
      <x:c r="F416" s="5" t="n">
        <x:v>46023</x:v>
      </x:c>
      <x:c r="G416" s="5" t="n">
        <x:v>46027</x:v>
      </x:c>
      <x:c r="H416" s="5" t="n">
        <x:v>46027</x:v>
      </x:c>
      <x:c r="I416" s="5" t="n">
        <x:v>46043</x:v>
      </x:c>
      <x:c r="J416" s="1" t="n">
        <x:v>3741</x:v>
      </x:c>
      <x:c r="K416" s="6" t="n">
        <x:v>16.9</x:v>
      </x:c>
      <x:c r="L416" s="10" t="n">
        <x:f>J416*K416</x:f>
        <x:v>63222.899999999994</x:v>
      </x:c>
      <x:c r="M416" t="n">
        <x:f>G416-F416</x:f>
        <x:v>4</x:v>
      </x:c>
      <x:c r="N416" t="n">
        <x:f>H416-F416</x:f>
        <x:v>4</x:v>
      </x:c>
    </x:row>
    <x:row r="417">
      <x:c r="A417" s="1" t="str">
        <x:v>PO0416</x:v>
      </x:c>
      <x:c r="B417" s="1" t="str">
        <x:v>SUP09</x:v>
      </x:c>
      <x:c r="C417" s="1" t="str">
        <x:v>Colombia</x:v>
      </x:c>
      <x:c r="D417" s="1" t="str">
        <x:v>Maintenance services</x:v>
      </x:c>
      <x:c r="E417" s="1" t="str">
        <x:v>Buyer 4</x:v>
      </x:c>
      <x:c r="F417" s="5" t="n">
        <x:v>46045</x:v>
      </x:c>
      <x:c r="G417" s="5" t="n">
        <x:v>46050</x:v>
      </x:c>
      <x:c r="H417" s="5" t="n">
        <x:v>46052</x:v>
      </x:c>
      <x:c r="I417" s="5" t="n">
        <x:v>46063</x:v>
      </x:c>
      <x:c r="J417" s="1" t="n">
        <x:v>1021</x:v>
      </x:c>
      <x:c r="K417" s="6" t="n">
        <x:v>1.13</x:v>
      </x:c>
      <x:c r="L417" s="10" t="n">
        <x:f>J417*K417</x:f>
        <x:v>1153.7299999999998</x:v>
      </x:c>
      <x:c r="M417" t="n">
        <x:f>G417-F417</x:f>
        <x:v>5</x:v>
      </x:c>
      <x:c r="N417" t="n">
        <x:f>H417-F417</x:f>
        <x:v>7</x:v>
      </x:c>
    </x:row>
    <x:row r="418">
      <x:c r="A418" s="1" t="str">
        <x:v>PO0417</x:v>
      </x:c>
      <x:c r="B418" s="1" t="str">
        <x:v>SUP05</x:v>
      </x:c>
      <x:c r="C418" s="1" t="str">
        <x:v>Costa Rica</x:v>
      </x:c>
      <x:c r="D418" s="1" t="str">
        <x:v>Ingredients</x:v>
      </x:c>
      <x:c r="E418" s="1" t="str">
        <x:v>Buyer 1</x:v>
      </x:c>
      <x:c r="F418" s="5" t="n">
        <x:v>46273</x:v>
      </x:c>
      <x:c r="G418" s="5" t="n">
        <x:v>46278</x:v>
      </x:c>
      <x:c r="H418" s="5" t="n">
        <x:v>46280</x:v>
      </x:c>
      <x:c r="I418" s="5" t="n">
        <x:v>46295</x:v>
      </x:c>
      <x:c r="J418" s="1" t="n">
        <x:v>4127</x:v>
      </x:c>
      <x:c r="K418" s="6" t="n">
        <x:v>3.59</x:v>
      </x:c>
      <x:c r="L418" s="10" t="n">
        <x:f>J418*K418</x:f>
        <x:v>14815.93</x:v>
      </x:c>
      <x:c r="M418" t="n">
        <x:f>G418-F418</x:f>
        <x:v>5</x:v>
      </x:c>
      <x:c r="N418" t="n">
        <x:f>H418-F418</x:f>
        <x:v>7</x:v>
      </x:c>
    </x:row>
    <x:row r="419">
      <x:c r="A419" s="1" t="str">
        <x:v>PO0418</x:v>
      </x:c>
      <x:c r="B419" s="1" t="str">
        <x:v>SUP03</x:v>
      </x:c>
      <x:c r="C419" s="1" t="str">
        <x:v>Guatemala</x:v>
      </x:c>
      <x:c r="D419" s="1" t="str">
        <x:v>Maintenance services</x:v>
      </x:c>
      <x:c r="E419" s="1" t="str">
        <x:v>Buyer 2</x:v>
      </x:c>
      <x:c r="F419" s="5" t="n">
        <x:v>46139</x:v>
      </x:c>
      <x:c r="G419" s="5" t="n">
        <x:v>46144</x:v>
      </x:c>
      <x:c r="H419" s="5" t="n">
        <x:v>46145</x:v>
      </x:c>
      <x:c r="I419" s="5" t="n">
        <x:v>46162</x:v>
      </x:c>
      <x:c r="J419" s="1" t="n">
        <x:v>1935</x:v>
      </x:c>
      <x:c r="K419" s="6" t="n">
        <x:v>17</x:v>
      </x:c>
      <x:c r="L419" s="10" t="n">
        <x:f>J419*K419</x:f>
        <x:v>32895</x:v>
      </x:c>
      <x:c r="M419" t="n">
        <x:f>G419-F419</x:f>
        <x:v>5</x:v>
      </x:c>
      <x:c r="N419" t="n">
        <x:f>H419-F419</x:f>
        <x:v>6</x:v>
      </x:c>
    </x:row>
    <x:row r="420">
      <x:c r="A420" s="1" t="str">
        <x:v>PO0419</x:v>
      </x:c>
      <x:c r="B420" s="1" t="str">
        <x:v>SUP03</x:v>
      </x:c>
      <x:c r="C420" s="1" t="str">
        <x:v>Peru</x:v>
      </x:c>
      <x:c r="D420" s="1" t="str">
        <x:v>Maintenance services</x:v>
      </x:c>
      <x:c r="E420" s="1" t="str">
        <x:v>Buyer 3</x:v>
      </x:c>
      <x:c r="F420" s="5" t="n">
        <x:v>46065</x:v>
      </x:c>
      <x:c r="G420" s="5" t="n">
        <x:v>46068</x:v>
      </x:c>
      <x:c r="H420" s="5" t="n">
        <x:v>46070</x:v>
      </x:c>
      <x:c r="I420" s="5" t="n">
        <x:v>46093</x:v>
      </x:c>
      <x:c r="J420" s="1" t="n">
        <x:v>2095</x:v>
      </x:c>
      <x:c r="K420" s="6" t="n">
        <x:v>14.6</x:v>
      </x:c>
      <x:c r="L420" s="10" t="n">
        <x:f>J420*K420</x:f>
        <x:v>30587</x:v>
      </x:c>
      <x:c r="M420" t="n">
        <x:f>G420-F420</x:f>
        <x:v>3</x:v>
      </x:c>
      <x:c r="N420" t="n">
        <x:f>H420-F420</x:f>
        <x:v>5</x:v>
      </x:c>
    </x:row>
    <x:row r="421">
      <x:c r="A421" s="1" t="str">
        <x:v>PO0420</x:v>
      </x:c>
      <x:c r="B421" s="1" t="str">
        <x:v>SUP08</x:v>
      </x:c>
      <x:c r="C421" s="1" t="str">
        <x:v>Chile</x:v>
      </x:c>
      <x:c r="D421" s="1" t="str">
        <x:v>Ingredients</x:v>
      </x:c>
      <x:c r="E421" s="1" t="str">
        <x:v>Buyer 4</x:v>
      </x:c>
      <x:c r="F421" s="5" t="n">
        <x:v>46231</x:v>
      </x:c>
      <x:c r="G421" s="5" t="n">
        <x:v>46233</x:v>
      </x:c>
      <x:c r="H421" s="5" t="n">
        <x:v>46234</x:v>
      </x:c>
      <x:c r="I421" s="5" t="n">
        <x:v>46256</x:v>
      </x:c>
      <x:c r="J421" s="1" t="n">
        <x:v>1420</x:v>
      </x:c>
      <x:c r="K421" s="6" t="n">
        <x:v>16.42</x:v>
      </x:c>
      <x:c r="L421" s="10" t="n">
        <x:f>J421*K421</x:f>
        <x:v>23316.4</x:v>
      </x:c>
      <x:c r="M421" t="n">
        <x:f>G421-F421</x:f>
        <x:v>2</x:v>
      </x:c>
      <x:c r="N421" t="n">
        <x:f>H421-F421</x:f>
        <x:v>3</x:v>
      </x:c>
    </x:row>
    <x:row r="422">
      <x:c r="A422" s="1" t="str">
        <x:v>PO0421</x:v>
      </x:c>
      <x:c r="B422" s="1" t="str">
        <x:v>SUP03</x:v>
      </x:c>
      <x:c r="C422" s="1" t="str">
        <x:v>Panama</x:v>
      </x:c>
      <x:c r="D422" s="1" t="str">
        <x:v>Maintenance services</x:v>
      </x:c>
      <x:c r="E422" s="1" t="str">
        <x:v>Buyer 1</x:v>
      </x:c>
      <x:c r="F422" s="5" t="n">
        <x:v>46210</x:v>
      </x:c>
      <x:c r="G422" s="5" t="n">
        <x:v>46213</x:v>
      </x:c>
      <x:c r="H422" s="5" t="n">
        <x:v>46215</x:v>
      </x:c>
      <x:c r="I422" s="5" t="n">
        <x:v>46231</x:v>
      </x:c>
      <x:c r="J422" s="1" t="n">
        <x:v>1688</x:v>
      </x:c>
      <x:c r="K422" s="6" t="n">
        <x:v>21.46</x:v>
      </x:c>
      <x:c r="L422" s="10" t="n">
        <x:f>J422*K422</x:f>
        <x:v>36224.48</x:v>
      </x:c>
      <x:c r="M422" t="n">
        <x:f>G422-F422</x:f>
        <x:v>3</x:v>
      </x:c>
      <x:c r="N422" t="n">
        <x:f>H422-F422</x:f>
        <x:v>5</x:v>
      </x:c>
    </x:row>
    <x:row r="423">
      <x:c r="A423" s="1" t="str">
        <x:v>PO0422</x:v>
      </x:c>
      <x:c r="B423" s="1" t="str">
        <x:v>SUP07</x:v>
      </x:c>
      <x:c r="C423" s="1" t="str">
        <x:v>Mexico</x:v>
      </x:c>
      <x:c r="D423" s="1" t="str">
        <x:v>Packaging</x:v>
      </x:c>
      <x:c r="E423" s="1" t="str">
        <x:v>Buyer 2</x:v>
      </x:c>
      <x:c r="F423" s="5" t="n">
        <x:v>46210</x:v>
      </x:c>
      <x:c r="G423" s="5" t="n">
        <x:v>46214</x:v>
      </x:c>
      <x:c r="H423" s="5" t="n">
        <x:v>46215</x:v>
      </x:c>
      <x:c r="I423" s="5" t="n">
        <x:v>46234</x:v>
      </x:c>
      <x:c r="J423" s="1" t="n">
        <x:v>2953</x:v>
      </x:c>
      <x:c r="K423" s="6" t="n">
        <x:v>3.51</x:v>
      </x:c>
      <x:c r="L423" s="10" t="n">
        <x:f>J423*K423</x:f>
        <x:v>10365.029999999999</x:v>
      </x:c>
      <x:c r="M423" t="n">
        <x:f>G423-F423</x:f>
        <x:v>4</x:v>
      </x:c>
      <x:c r="N423" t="n">
        <x:f>H423-F423</x:f>
        <x:v>5</x:v>
      </x:c>
    </x:row>
    <x:row r="424">
      <x:c r="A424" s="1" t="str">
        <x:v>PO0423</x:v>
      </x:c>
      <x:c r="B424" s="1" t="str">
        <x:v>SUP05</x:v>
      </x:c>
      <x:c r="C424" s="1" t="str">
        <x:v>Colombia</x:v>
      </x:c>
      <x:c r="D424" s="1" t="str">
        <x:v>Ingredients</x:v>
      </x:c>
      <x:c r="E424" s="1" t="str">
        <x:v>Buyer 3</x:v>
      </x:c>
      <x:c r="F424" s="5" t="n">
        <x:v>46191</x:v>
      </x:c>
      <x:c r="G424" s="5" t="n">
        <x:v>46196</x:v>
      </x:c>
      <x:c r="H424" s="5" t="n">
        <x:v>46196</x:v>
      </x:c>
      <x:c r="I424" s="5" t="n">
        <x:v>46213</x:v>
      </x:c>
      <x:c r="J424" s="1" t="n">
        <x:v>1506</x:v>
      </x:c>
      <x:c r="K424" s="6" t="n">
        <x:v>6.34</x:v>
      </x:c>
      <x:c r="L424" s="10" t="n">
        <x:f>J424*K424</x:f>
        <x:v>9548.039999999999</x:v>
      </x:c>
      <x:c r="M424" t="n">
        <x:f>G424-F424</x:f>
        <x:v>5</x:v>
      </x:c>
      <x:c r="N424" t="n">
        <x:f>H424-F424</x:f>
        <x:v>5</x:v>
      </x:c>
    </x:row>
    <x:row r="425">
      <x:c r="A425" s="1" t="str">
        <x:v>PO0424</x:v>
      </x:c>
      <x:c r="B425" s="1" t="str">
        <x:v>SUP01</x:v>
      </x:c>
      <x:c r="C425" s="1" t="str">
        <x:v>Costa Rica</x:v>
      </x:c>
      <x:c r="D425" s="1" t="str">
        <x:v>Packaging</x:v>
      </x:c>
      <x:c r="E425" s="1" t="str">
        <x:v>Buyer 4</x:v>
      </x:c>
      <x:c r="F425" s="5" t="n">
        <x:v>46093</x:v>
      </x:c>
      <x:c r="G425" s="5" t="n">
        <x:v>46097</x:v>
      </x:c>
      <x:c r="H425" s="5" t="n">
        <x:v>46097</x:v>
      </x:c>
      <x:c r="I425" s="5" t="n">
        <x:v>46122</x:v>
      </x:c>
      <x:c r="J425" s="1" t="n">
        <x:v>2886</x:v>
      </x:c>
      <x:c r="K425" s="6" t="n">
        <x:v>23.9</x:v>
      </x:c>
      <x:c r="L425" s="10" t="n">
        <x:f>J425*K425</x:f>
        <x:v>68975.4</x:v>
      </x:c>
      <x:c r="M425" t="n">
        <x:f>G425-F425</x:f>
        <x:v>4</x:v>
      </x:c>
      <x:c r="N425" t="n">
        <x:f>H425-F425</x:f>
        <x:v>4</x:v>
      </x:c>
    </x:row>
    <x:row r="426">
      <x:c r="A426" s="1" t="str">
        <x:v>PO0425</x:v>
      </x:c>
      <x:c r="B426" s="1" t="str">
        <x:v>SUP08</x:v>
      </x:c>
      <x:c r="C426" s="1" t="str">
        <x:v>Guatemala</x:v>
      </x:c>
      <x:c r="D426" s="1" t="str">
        <x:v>Ingredients</x:v>
      </x:c>
      <x:c r="E426" s="1" t="str">
        <x:v>Buyer 1</x:v>
      </x:c>
      <x:c r="F426" s="5" t="n">
        <x:v>46192</x:v>
      </x:c>
      <x:c r="G426" s="5" t="n">
        <x:v>46193</x:v>
      </x:c>
      <x:c r="H426" s="5" t="n">
        <x:v>46194</x:v>
      </x:c>
      <x:c r="I426" s="5" t="n">
        <x:v>46210</x:v>
      </x:c>
      <x:c r="J426" s="1" t="n">
        <x:v>2493</x:v>
      </x:c>
      <x:c r="K426" s="6" t="n">
        <x:v>9.21</x:v>
      </x:c>
      <x:c r="L426" s="10" t="n">
        <x:f>J426*K426</x:f>
        <x:v>22960.530000000002</x:v>
      </x:c>
      <x:c r="M426" t="n">
        <x:f>G426-F426</x:f>
        <x:v>1</x:v>
      </x:c>
      <x:c r="N426" t="n">
        <x:f>H426-F426</x:f>
        <x:v>2</x:v>
      </x:c>
    </x:row>
    <x:row r="427">
      <x:c r="A427" s="1" t="str">
        <x:v>PO0426</x:v>
      </x:c>
      <x:c r="B427" s="1" t="str">
        <x:v>SUP11</x:v>
      </x:c>
      <x:c r="C427" s="1" t="str">
        <x:v>Peru</x:v>
      </x:c>
      <x:c r="D427" s="1" t="str">
        <x:v>Ingredients</x:v>
      </x:c>
      <x:c r="E427" s="1" t="str">
        <x:v>Buyer 2</x:v>
      </x:c>
      <x:c r="F427" s="5" t="n">
        <x:v>46066</x:v>
      </x:c>
      <x:c r="G427" s="5" t="n">
        <x:v>46068</x:v>
      </x:c>
      <x:c r="H427" s="5" t="n">
        <x:v>46070</x:v>
      </x:c>
      <x:c r="I427" s="5" t="n">
        <x:v>46078</x:v>
      </x:c>
      <x:c r="J427" s="1" t="n">
        <x:v>2548</x:v>
      </x:c>
      <x:c r="K427" s="6" t="n">
        <x:v>2.04</x:v>
      </x:c>
      <x:c r="L427" s="10" t="n">
        <x:f>J427*K427</x:f>
        <x:v>5197.92</x:v>
      </x:c>
      <x:c r="M427" t="n">
        <x:f>G427-F427</x:f>
        <x:v>2</x:v>
      </x:c>
      <x:c r="N427" t="n">
        <x:f>H427-F427</x:f>
        <x:v>4</x:v>
      </x:c>
    </x:row>
    <x:row r="428">
      <x:c r="A428" s="1" t="str">
        <x:v>PO0427</x:v>
      </x:c>
      <x:c r="B428" s="1" t="str">
        <x:v>SUP14</x:v>
      </x:c>
      <x:c r="C428" s="1" t="str">
        <x:v>Chile</x:v>
      </x:c>
      <x:c r="D428" s="1" t="str">
        <x:v>Ingredients</x:v>
      </x:c>
      <x:c r="E428" s="1" t="str">
        <x:v>Buyer 3</x:v>
      </x:c>
      <x:c r="F428" s="5" t="n">
        <x:v>46091</x:v>
      </x:c>
      <x:c r="G428" s="5" t="n">
        <x:v>46094</x:v>
      </x:c>
      <x:c r="H428" s="5" t="n">
        <x:v>46096</x:v>
      </x:c>
      <x:c r="I428" s="5" t="n">
        <x:v>46114</x:v>
      </x:c>
      <x:c r="J428" s="1" t="n">
        <x:v>2966</x:v>
      </x:c>
      <x:c r="K428" s="6" t="n">
        <x:v>20.37</x:v>
      </x:c>
      <x:c r="L428" s="10" t="n">
        <x:f>J428*K428</x:f>
        <x:v>60417.420000000006</x:v>
      </x:c>
      <x:c r="M428" t="n">
        <x:f>G428-F428</x:f>
        <x:v>3</x:v>
      </x:c>
      <x:c r="N428" t="n">
        <x:f>H428-F428</x:f>
        <x:v>5</x:v>
      </x:c>
    </x:row>
    <x:row r="429">
      <x:c r="A429" s="1" t="str">
        <x:v>PO0428</x:v>
      </x:c>
      <x:c r="B429" s="1" t="str">
        <x:v>SUP07</x:v>
      </x:c>
      <x:c r="C429" s="1" t="str">
        <x:v>Panama</x:v>
      </x:c>
      <x:c r="D429" s="1" t="str">
        <x:v>Packaging</x:v>
      </x:c>
      <x:c r="E429" s="1" t="str">
        <x:v>Buyer 4</x:v>
      </x:c>
      <x:c r="F429" s="5" t="n">
        <x:v>46085</x:v>
      </x:c>
      <x:c r="G429" s="5" t="n">
        <x:v>46087</x:v>
      </x:c>
      <x:c r="H429" s="5" t="n">
        <x:v>46087</x:v>
      </x:c>
      <x:c r="I429" s="5" t="n">
        <x:v>46097</x:v>
      </x:c>
      <x:c r="J429" s="1" t="n">
        <x:v>1220</x:v>
      </x:c>
      <x:c r="K429" s="6" t="n">
        <x:v>2.05</x:v>
      </x:c>
      <x:c r="L429" s="10" t="n">
        <x:f>J429*K429</x:f>
        <x:v>2501</x:v>
      </x:c>
      <x:c r="M429" t="n">
        <x:f>G429-F429</x:f>
        <x:v>2</x:v>
      </x:c>
      <x:c r="N429" t="n">
        <x:f>H429-F429</x:f>
        <x:v>2</x:v>
      </x:c>
    </x:row>
    <x:row r="430">
      <x:c r="A430" s="1" t="str">
        <x:v>PO0429</x:v>
      </x:c>
      <x:c r="B430" s="1" t="str">
        <x:v>SUP08</x:v>
      </x:c>
      <x:c r="C430" s="1" t="str">
        <x:v>Mexico</x:v>
      </x:c>
      <x:c r="D430" s="1" t="str">
        <x:v>Ingredients</x:v>
      </x:c>
      <x:c r="E430" s="1" t="str">
        <x:v>Buyer 1</x:v>
      </x:c>
      <x:c r="F430" s="5" t="n">
        <x:v>46197</x:v>
      </x:c>
      <x:c r="G430" s="5" t="n">
        <x:v>46202</x:v>
      </x:c>
      <x:c r="H430" s="5" t="n">
        <x:v>46204</x:v>
      </x:c>
      <x:c r="I430" s="5" t="n">
        <x:v>46217</x:v>
      </x:c>
      <x:c r="J430" s="1" t="n">
        <x:v>2871</x:v>
      </x:c>
      <x:c r="K430" s="6" t="n">
        <x:v>5.32</x:v>
      </x:c>
      <x:c r="L430" s="10" t="n">
        <x:f>J430*K430</x:f>
        <x:v>15273.720000000001</x:v>
      </x:c>
      <x:c r="M430" t="n">
        <x:f>G430-F430</x:f>
        <x:v>5</x:v>
      </x:c>
      <x:c r="N430" t="n">
        <x:f>H430-F430</x:f>
        <x:v>7</x:v>
      </x:c>
    </x:row>
    <x:row r="431">
      <x:c r="A431" s="1" t="str">
        <x:v>PO0430</x:v>
      </x:c>
      <x:c r="B431" s="1" t="str">
        <x:v>SUP05</x:v>
      </x:c>
      <x:c r="C431" s="1" t="str">
        <x:v>Colombia</x:v>
      </x:c>
      <x:c r="D431" s="1" t="str">
        <x:v>Ingredients</x:v>
      </x:c>
      <x:c r="E431" s="1" t="str">
        <x:v>Buyer 2</x:v>
      </x:c>
      <x:c r="F431" s="5" t="n">
        <x:v>46061</x:v>
      </x:c>
      <x:c r="G431" s="5" t="n">
        <x:v>46065</x:v>
      </x:c>
      <x:c r="H431" s="5" t="n">
        <x:v>46066</x:v>
      </x:c>
      <x:c r="I431" s="5" t="n">
        <x:v>46074</x:v>
      </x:c>
      <x:c r="J431" s="1" t="n">
        <x:v>4252</x:v>
      </x:c>
      <x:c r="K431" s="6" t="n">
        <x:v>24.56</x:v>
      </x:c>
      <x:c r="L431" s="10" t="n">
        <x:f>J431*K431</x:f>
        <x:v>104429.12</x:v>
      </x:c>
      <x:c r="M431" t="n">
        <x:f>G431-F431</x:f>
        <x:v>4</x:v>
      </x:c>
      <x:c r="N431" t="n">
        <x:f>H431-F431</x:f>
        <x:v>5</x:v>
      </x:c>
    </x:row>
    <x:row r="432">
      <x:c r="A432" s="1" t="str">
        <x:v>PO0431</x:v>
      </x:c>
      <x:c r="B432" s="1" t="str">
        <x:v>SUP11</x:v>
      </x:c>
      <x:c r="C432" s="1" t="str">
        <x:v>Costa Rica</x:v>
      </x:c>
      <x:c r="D432" s="1" t="str">
        <x:v>Ingredients</x:v>
      </x:c>
      <x:c r="E432" s="1" t="str">
        <x:v>Buyer 3</x:v>
      </x:c>
      <x:c r="F432" s="5" t="n">
        <x:v>46248</x:v>
      </x:c>
      <x:c r="G432" s="5" t="n">
        <x:v>46249</x:v>
      </x:c>
      <x:c r="H432" s="5" t="n">
        <x:v>46249</x:v>
      </x:c>
      <x:c r="I432" s="5" t="n">
        <x:v>46262</x:v>
      </x:c>
      <x:c r="J432" s="1" t="n">
        <x:v>4940</x:v>
      </x:c>
      <x:c r="K432" s="6" t="n">
        <x:v>20.72</x:v>
      </x:c>
      <x:c r="L432" s="10" t="n">
        <x:f>J432*K432</x:f>
        <x:v>102356.79999999999</x:v>
      </x:c>
      <x:c r="M432" t="n">
        <x:f>G432-F432</x:f>
        <x:v>1</x:v>
      </x:c>
      <x:c r="N432" t="n">
        <x:f>H432-F432</x:f>
        <x:v>1</x:v>
      </x:c>
    </x:row>
    <x:row r="433">
      <x:c r="A433" s="1" t="str">
        <x:v>PO0432</x:v>
      </x:c>
      <x:c r="B433" s="1" t="str">
        <x:v>SUP04</x:v>
      </x:c>
      <x:c r="C433" s="1" t="str">
        <x:v>Guatemala</x:v>
      </x:c>
      <x:c r="D433" s="1" t="str">
        <x:v>Packaging</x:v>
      </x:c>
      <x:c r="E433" s="1" t="str">
        <x:v>Buyer 4</x:v>
      </x:c>
      <x:c r="F433" s="5" t="n">
        <x:v>46072</x:v>
      </x:c>
      <x:c r="G433" s="5" t="n">
        <x:v>46075</x:v>
      </x:c>
      <x:c r="H433" s="5" t="n">
        <x:v>46075</x:v>
      </x:c>
      <x:c r="I433" s="5" t="n">
        <x:v>46092</x:v>
      </x:c>
      <x:c r="J433" s="1" t="n">
        <x:v>4722</x:v>
      </x:c>
      <x:c r="K433" s="6" t="n">
        <x:v>5.07</x:v>
      </x:c>
      <x:c r="L433" s="10" t="n">
        <x:f>J433*K433</x:f>
        <x:v>23940.54</x:v>
      </x:c>
      <x:c r="M433" t="n">
        <x:f>G433-F433</x:f>
        <x:v>3</x:v>
      </x:c>
      <x:c r="N433" t="n">
        <x:f>H433-F433</x:f>
        <x:v>3</x:v>
      </x:c>
    </x:row>
    <x:row r="434">
      <x:c r="A434" s="1" t="str">
        <x:v>PO0433</x:v>
      </x:c>
      <x:c r="B434" s="1" t="str">
        <x:v>SUP02</x:v>
      </x:c>
      <x:c r="C434" s="1" t="str">
        <x:v>Peru</x:v>
      </x:c>
      <x:c r="D434" s="1" t="str">
        <x:v>Ingredients</x:v>
      </x:c>
      <x:c r="E434" s="1" t="str">
        <x:v>Buyer 1</x:v>
      </x:c>
      <x:c r="F434" s="5" t="n">
        <x:v>46043</x:v>
      </x:c>
      <x:c r="G434" s="5" t="n">
        <x:v>46048</x:v>
      </x:c>
      <x:c r="H434" s="5" t="n">
        <x:v>46049</x:v>
      </x:c>
      <x:c r="I434" s="5" t="n">
        <x:v>46074</x:v>
      </x:c>
      <x:c r="J434" s="1" t="n">
        <x:v>302</x:v>
      </x:c>
      <x:c r="K434" s="6" t="n">
        <x:v>22.28</x:v>
      </x:c>
      <x:c r="L434" s="10" t="n">
        <x:f>J434*K434</x:f>
        <x:v>6728.56</x:v>
      </x:c>
      <x:c r="M434" t="n">
        <x:f>G434-F434</x:f>
        <x:v>5</x:v>
      </x:c>
      <x:c r="N434" t="n">
        <x:f>H434-F434</x:f>
        <x:v>6</x:v>
      </x:c>
    </x:row>
    <x:row r="435">
      <x:c r="A435" s="1" t="str">
        <x:v>PO0434</x:v>
      </x:c>
      <x:c r="B435" s="1" t="str">
        <x:v>SUP02</x:v>
      </x:c>
      <x:c r="C435" s="1" t="str">
        <x:v>Chile</x:v>
      </x:c>
      <x:c r="D435" s="1" t="str">
        <x:v>Ingredients</x:v>
      </x:c>
      <x:c r="E435" s="1" t="str">
        <x:v>Buyer 2</x:v>
      </x:c>
      <x:c r="F435" s="5" t="n">
        <x:v>46027</x:v>
      </x:c>
      <x:c r="G435" s="5" t="n">
        <x:v>46029</x:v>
      </x:c>
      <x:c r="H435" s="5" t="n">
        <x:v>46030</x:v>
      </x:c>
      <x:c r="I435" s="5" t="n">
        <x:v>46041</x:v>
      </x:c>
      <x:c r="J435" s="1" t="n">
        <x:v>351</x:v>
      </x:c>
      <x:c r="K435" s="6" t="n">
        <x:v>17.25</x:v>
      </x:c>
      <x:c r="L435" s="10" t="n">
        <x:f>J435*K435</x:f>
        <x:v>6054.75</x:v>
      </x:c>
      <x:c r="M435" t="n">
        <x:f>G435-F435</x:f>
        <x:v>2</x:v>
      </x:c>
      <x:c r="N435" t="n">
        <x:f>H435-F435</x:f>
        <x:v>3</x:v>
      </x:c>
    </x:row>
    <x:row r="436">
      <x:c r="A436" s="1" t="str">
        <x:v>PO0435</x:v>
      </x:c>
      <x:c r="B436" s="1" t="str">
        <x:v>SUP11</x:v>
      </x:c>
      <x:c r="C436" s="1" t="str">
        <x:v>Panama</x:v>
      </x:c>
      <x:c r="D436" s="1" t="str">
        <x:v>Ingredients</x:v>
      </x:c>
      <x:c r="E436" s="1" t="str">
        <x:v>Buyer 3</x:v>
      </x:c>
      <x:c r="F436" s="5" t="n">
        <x:v>46104</x:v>
      </x:c>
      <x:c r="G436" s="5" t="n">
        <x:v>46106</x:v>
      </x:c>
      <x:c r="H436" s="5" t="n">
        <x:v>46107</x:v>
      </x:c>
      <x:c r="I436" s="5" t="n">
        <x:v>46126</x:v>
      </x:c>
      <x:c r="J436" s="1" t="n">
        <x:v>324</x:v>
      </x:c>
      <x:c r="K436" s="6" t="n">
        <x:v>8.55</x:v>
      </x:c>
      <x:c r="L436" s="10" t="n">
        <x:f>J436*K436</x:f>
        <x:v>2770.2000000000003</x:v>
      </x:c>
      <x:c r="M436" t="n">
        <x:f>G436-F436</x:f>
        <x:v>2</x:v>
      </x:c>
      <x:c r="N436" t="n">
        <x:f>H436-F436</x:f>
        <x:v>3</x:v>
      </x:c>
    </x:row>
    <x:row r="437">
      <x:c r="A437" s="1" t="str">
        <x:v>PO0436</x:v>
      </x:c>
      <x:c r="B437" s="1" t="str">
        <x:v>SUP02</x:v>
      </x:c>
      <x:c r="C437" s="1" t="str">
        <x:v>Mexico</x:v>
      </x:c>
      <x:c r="D437" s="1" t="str">
        <x:v>Ingredients</x:v>
      </x:c>
      <x:c r="E437" s="1" t="str">
        <x:v>Buyer 4</x:v>
      </x:c>
      <x:c r="F437" s="5" t="n">
        <x:v>46161</x:v>
      </x:c>
      <x:c r="G437" s="5" t="n">
        <x:v>46163</x:v>
      </x:c>
      <x:c r="H437" s="5" t="n">
        <x:v>46163</x:v>
      </x:c>
      <x:c r="I437" s="5" t="n">
        <x:v>46178</x:v>
      </x:c>
      <x:c r="J437" s="1" t="n">
        <x:v>1805</x:v>
      </x:c>
      <x:c r="K437" s="6" t="n">
        <x:v>12.9</x:v>
      </x:c>
      <x:c r="L437" s="10" t="n">
        <x:f>J437*K437</x:f>
        <x:v>23284.5</x:v>
      </x:c>
      <x:c r="M437" t="n">
        <x:f>G437-F437</x:f>
        <x:v>2</x:v>
      </x:c>
      <x:c r="N437" t="n">
        <x:f>H437-F437</x:f>
        <x:v>2</x:v>
      </x:c>
    </x:row>
    <x:row r="438">
      <x:c r="A438" s="1" t="str">
        <x:v>PO0437</x:v>
      </x:c>
      <x:c r="B438" s="1" t="str">
        <x:v>SUP05</x:v>
      </x:c>
      <x:c r="C438" s="1" t="str">
        <x:v>Colombia</x:v>
      </x:c>
      <x:c r="D438" s="1" t="str">
        <x:v>Ingredients</x:v>
      </x:c>
      <x:c r="E438" s="1" t="str">
        <x:v>Buyer 1</x:v>
      </x:c>
      <x:c r="F438" s="5" t="n">
        <x:v>46221</x:v>
      </x:c>
      <x:c r="G438" s="5" t="n">
        <x:v>46222</x:v>
      </x:c>
      <x:c r="H438" s="5" t="n">
        <x:v>46224</x:v>
      </x:c>
      <x:c r="I438" s="5" t="n">
        <x:v>46235</x:v>
      </x:c>
      <x:c r="J438" s="1" t="n">
        <x:v>656</x:v>
      </x:c>
      <x:c r="K438" s="6" t="n">
        <x:v>11.44</x:v>
      </x:c>
      <x:c r="L438" s="10" t="n">
        <x:f>J438*K438</x:f>
        <x:v>7504.639999999999</x:v>
      </x:c>
      <x:c r="M438" t="n">
        <x:f>G438-F438</x:f>
        <x:v>1</x:v>
      </x:c>
      <x:c r="N438" t="n">
        <x:f>H438-F438</x:f>
        <x:v>3</x:v>
      </x:c>
    </x:row>
    <x:row r="439">
      <x:c r="A439" s="1" t="str">
        <x:v>PO0438</x:v>
      </x:c>
      <x:c r="B439" s="1" t="str">
        <x:v>SUP12</x:v>
      </x:c>
      <x:c r="C439" s="1" t="str">
        <x:v>Costa Rica</x:v>
      </x:c>
      <x:c r="D439" s="1" t="str">
        <x:v>Maintenance services</x:v>
      </x:c>
      <x:c r="E439" s="1" t="str">
        <x:v>Buyer 2</x:v>
      </x:c>
      <x:c r="F439" s="5" t="n">
        <x:v>46236</x:v>
      </x:c>
      <x:c r="G439" s="5" t="n">
        <x:v>46238</x:v>
      </x:c>
      <x:c r="H439" s="5" t="n">
        <x:v>46240</x:v>
      </x:c>
      <x:c r="I439" s="5" t="n">
        <x:v>46259</x:v>
      </x:c>
      <x:c r="J439" s="1" t="n">
        <x:v>1781</x:v>
      </x:c>
      <x:c r="K439" s="6" t="n">
        <x:v>14.31</x:v>
      </x:c>
      <x:c r="L439" s="10" t="n">
        <x:f>J439*K439</x:f>
        <x:v>25486.11</x:v>
      </x:c>
      <x:c r="M439" t="n">
        <x:f>G439-F439</x:f>
        <x:v>2</x:v>
      </x:c>
      <x:c r="N439" t="n">
        <x:f>H439-F439</x:f>
        <x:v>4</x:v>
      </x:c>
    </x:row>
    <x:row r="440">
      <x:c r="A440" s="1" t="str">
        <x:v>PO0439</x:v>
      </x:c>
      <x:c r="B440" s="1" t="str">
        <x:v>SUP09</x:v>
      </x:c>
      <x:c r="C440" s="1" t="str">
        <x:v>Guatemala</x:v>
      </x:c>
      <x:c r="D440" s="1" t="str">
        <x:v>Maintenance services</x:v>
      </x:c>
      <x:c r="E440" s="1" t="str">
        <x:v>Buyer 3</x:v>
      </x:c>
      <x:c r="F440" s="5" t="n">
        <x:v>46192</x:v>
      </x:c>
      <x:c r="G440" s="5" t="n">
        <x:v>46196</x:v>
      </x:c>
      <x:c r="H440" s="5" t="n">
        <x:v>46198</x:v>
      </x:c>
      <x:c r="I440" s="5" t="n">
        <x:v>46207</x:v>
      </x:c>
      <x:c r="J440" s="1" t="n">
        <x:v>1925</x:v>
      </x:c>
      <x:c r="K440" s="6" t="n">
        <x:v>22.31</x:v>
      </x:c>
      <x:c r="L440" s="10" t="n">
        <x:f>J440*K440</x:f>
        <x:v>42946.75</x:v>
      </x:c>
      <x:c r="M440" t="n">
        <x:f>G440-F440</x:f>
        <x:v>4</x:v>
      </x:c>
      <x:c r="N440" t="n">
        <x:f>H440-F440</x:f>
        <x:v>6</x:v>
      </x:c>
    </x:row>
    <x:row r="441">
      <x:c r="A441" s="1" t="str">
        <x:v>PO0440</x:v>
      </x:c>
      <x:c r="B441" s="1" t="str">
        <x:v>SUP11</x:v>
      </x:c>
      <x:c r="C441" s="1" t="str">
        <x:v>Peru</x:v>
      </x:c>
      <x:c r="D441" s="1" t="str">
        <x:v>Ingredients</x:v>
      </x:c>
      <x:c r="E441" s="1" t="str">
        <x:v>Buyer 4</x:v>
      </x:c>
      <x:c r="F441" s="5" t="n">
        <x:v>46153</x:v>
      </x:c>
      <x:c r="G441" s="5" t="n">
        <x:v>46158</x:v>
      </x:c>
      <x:c r="H441" s="5" t="n">
        <x:v>46159</x:v>
      </x:c>
      <x:c r="I441" s="5" t="n">
        <x:v>46182</x:v>
      </x:c>
      <x:c r="J441" s="1" t="n">
        <x:v>769</x:v>
      </x:c>
      <x:c r="K441" s="6" t="n">
        <x:v>2.05</x:v>
      </x:c>
      <x:c r="L441" s="10" t="n">
        <x:f>J441*K441</x:f>
        <x:v>1576.4499999999998</x:v>
      </x:c>
      <x:c r="M441" t="n">
        <x:f>G441-F441</x:f>
        <x:v>5</x:v>
      </x:c>
      <x:c r="N441" t="n">
        <x:f>H441-F441</x:f>
        <x:v>6</x:v>
      </x:c>
    </x:row>
    <x:row r="442">
      <x:c r="A442" s="1" t="str">
        <x:v>PO0441</x:v>
      </x:c>
      <x:c r="B442" s="1" t="str">
        <x:v>SUP05</x:v>
      </x:c>
      <x:c r="C442" s="1" t="str">
        <x:v>Chile</x:v>
      </x:c>
      <x:c r="D442" s="1" t="str">
        <x:v>Ingredients</x:v>
      </x:c>
      <x:c r="E442" s="1" t="str">
        <x:v>Buyer 1</x:v>
      </x:c>
      <x:c r="F442" s="5" t="n">
        <x:v>46107</x:v>
      </x:c>
      <x:c r="G442" s="5" t="n">
        <x:v>46110</x:v>
      </x:c>
      <x:c r="H442" s="5" t="n">
        <x:v>46112</x:v>
      </x:c>
      <x:c r="I442" s="5" t="n">
        <x:v>46135</x:v>
      </x:c>
      <x:c r="J442" s="1" t="n">
        <x:v>3408</x:v>
      </x:c>
      <x:c r="K442" s="6" t="n">
        <x:v>3.56</x:v>
      </x:c>
      <x:c r="L442" s="10" t="n">
        <x:f>J442*K442</x:f>
        <x:v>12132.48</x:v>
      </x:c>
      <x:c r="M442" t="n">
        <x:f>G442-F442</x:f>
        <x:v>3</x:v>
      </x:c>
      <x:c r="N442" t="n">
        <x:f>H442-F442</x:f>
        <x:v>5</x:v>
      </x:c>
    </x:row>
    <x:row r="443">
      <x:c r="A443" s="1" t="str">
        <x:v>PO0442</x:v>
      </x:c>
      <x:c r="B443" s="1" t="str">
        <x:v>SUP04</x:v>
      </x:c>
      <x:c r="C443" s="1" t="str">
        <x:v>Panama</x:v>
      </x:c>
      <x:c r="D443" s="1" t="str">
        <x:v>Packaging</x:v>
      </x:c>
      <x:c r="E443" s="1" t="str">
        <x:v>Buyer 2</x:v>
      </x:c>
      <x:c r="F443" s="5" t="n">
        <x:v>46259</x:v>
      </x:c>
      <x:c r="G443" s="5" t="n">
        <x:v>46264</x:v>
      </x:c>
      <x:c r="H443" s="5" t="n">
        <x:v>46264</x:v>
      </x:c>
      <x:c r="I443" s="5" t="n">
        <x:v>46272</x:v>
      </x:c>
      <x:c r="J443" s="1" t="n">
        <x:v>1765</x:v>
      </x:c>
      <x:c r="K443" s="6" t="n">
        <x:v>9.89</x:v>
      </x:c>
      <x:c r="L443" s="10" t="n">
        <x:f>J443*K443</x:f>
        <x:v>17455.850000000002</x:v>
      </x:c>
      <x:c r="M443" t="n">
        <x:f>G443-F443</x:f>
        <x:v>5</x:v>
      </x:c>
      <x:c r="N443" t="n">
        <x:f>H443-F443</x:f>
        <x:v>5</x:v>
      </x:c>
    </x:row>
    <x:row r="444">
      <x:c r="A444" s="1" t="str">
        <x:v>PO0443</x:v>
      </x:c>
      <x:c r="B444" s="1" t="str">
        <x:v>SUP13</x:v>
      </x:c>
      <x:c r="C444" s="1" t="str">
        <x:v>Mexico</x:v>
      </x:c>
      <x:c r="D444" s="1" t="str">
        <x:v>Packaging</x:v>
      </x:c>
      <x:c r="E444" s="1" t="str">
        <x:v>Buyer 3</x:v>
      </x:c>
      <x:c r="F444" s="5" t="n">
        <x:v>46167</x:v>
      </x:c>
      <x:c r="G444" s="5" t="n">
        <x:v>46169</x:v>
      </x:c>
      <x:c r="H444" s="5" t="n">
        <x:v>46170</x:v>
      </x:c>
      <x:c r="I444" s="5" t="n">
        <x:v>46188</x:v>
      </x:c>
      <x:c r="J444" s="1" t="n">
        <x:v>3752</x:v>
      </x:c>
      <x:c r="K444" s="6" t="n">
        <x:v>21.46</x:v>
      </x:c>
      <x:c r="L444" s="10" t="n">
        <x:f>J444*K444</x:f>
        <x:v>80517.92</x:v>
      </x:c>
      <x:c r="M444" t="n">
        <x:f>G444-F444</x:f>
        <x:v>2</x:v>
      </x:c>
      <x:c r="N444" t="n">
        <x:f>H444-F444</x:f>
        <x:v>3</x:v>
      </x:c>
    </x:row>
    <x:row r="445">
      <x:c r="A445" s="1" t="str">
        <x:v>PO0444</x:v>
      </x:c>
      <x:c r="B445" s="1" t="str">
        <x:v>SUP03</x:v>
      </x:c>
      <x:c r="C445" s="1" t="str">
        <x:v>Colombia</x:v>
      </x:c>
      <x:c r="D445" s="1" t="str">
        <x:v>Maintenance services</x:v>
      </x:c>
      <x:c r="E445" s="1" t="str">
        <x:v>Buyer 4</x:v>
      </x:c>
      <x:c r="F445" s="5" t="n">
        <x:v>46052</x:v>
      </x:c>
      <x:c r="G445" s="5" t="n">
        <x:v>46058</x:v>
      </x:c>
      <x:c r="H445" s="5" t="n">
        <x:v>46060</x:v>
      </x:c>
      <x:c r="I445" s="5" t="n">
        <x:v>46077</x:v>
      </x:c>
      <x:c r="J445" s="1" t="n">
        <x:v>3965</x:v>
      </x:c>
      <x:c r="K445" s="6" t="n">
        <x:v>3.21</x:v>
      </x:c>
      <x:c r="L445" s="10" t="n">
        <x:f>J445*K445</x:f>
        <x:v>12727.65</x:v>
      </x:c>
      <x:c r="M445" t="n">
        <x:f>G445-F445</x:f>
        <x:v>6</x:v>
      </x:c>
      <x:c r="N445" t="n">
        <x:f>H445-F445</x:f>
        <x:v>8</x:v>
      </x:c>
    </x:row>
    <x:row r="446">
      <x:c r="A446" s="1" t="str">
        <x:v>PO0445</x:v>
      </x:c>
      <x:c r="B446" s="1" t="str">
        <x:v>SUP06</x:v>
      </x:c>
      <x:c r="C446" s="1" t="str">
        <x:v>Costa Rica</x:v>
      </x:c>
      <x:c r="D446" s="1" t="str">
        <x:v>Maintenance services</x:v>
      </x:c>
      <x:c r="E446" s="1" t="str">
        <x:v>Buyer 1</x:v>
      </x:c>
      <x:c r="F446" s="5" t="n">
        <x:v>46152</x:v>
      </x:c>
      <x:c r="G446" s="5" t="n">
        <x:v>46154</x:v>
      </x:c>
      <x:c r="H446" s="5" t="n">
        <x:v>46154</x:v>
      </x:c>
      <x:c r="I446" s="5" t="n">
        <x:v>46167</x:v>
      </x:c>
      <x:c r="J446" s="1" t="n">
        <x:v>1050</x:v>
      </x:c>
      <x:c r="K446" s="6" t="n">
        <x:v>19.95</x:v>
      </x:c>
      <x:c r="L446" s="10" t="n">
        <x:f>J446*K446</x:f>
        <x:v>20947.5</x:v>
      </x:c>
      <x:c r="M446" t="n">
        <x:f>G446-F446</x:f>
        <x:v>2</x:v>
      </x:c>
      <x:c r="N446" t="n">
        <x:f>H446-F446</x:f>
        <x:v>2</x:v>
      </x:c>
    </x:row>
    <x:row r="447">
      <x:c r="A447" s="1" t="str">
        <x:v>PO0446</x:v>
      </x:c>
      <x:c r="B447" s="1" t="str">
        <x:v>SUP09</x:v>
      </x:c>
      <x:c r="C447" s="1" t="str">
        <x:v>Guatemala</x:v>
      </x:c>
      <x:c r="D447" s="1" t="str">
        <x:v>Maintenance services</x:v>
      </x:c>
      <x:c r="E447" s="1" t="str">
        <x:v>Buyer 2</x:v>
      </x:c>
      <x:c r="F447" s="5" t="n">
        <x:v>46061</x:v>
      </x:c>
      <x:c r="G447" s="5" t="n">
        <x:v>46066</x:v>
      </x:c>
      <x:c r="H447" s="5" t="n">
        <x:v>46066</x:v>
      </x:c>
      <x:c r="I447" s="5" t="n">
        <x:v>46083</x:v>
      </x:c>
      <x:c r="J447" s="1" t="n">
        <x:v>4320</x:v>
      </x:c>
      <x:c r="K447" s="6" t="n">
        <x:v>4.7</x:v>
      </x:c>
      <x:c r="L447" s="10" t="n">
        <x:f>J447*K447</x:f>
        <x:v>20304</x:v>
      </x:c>
      <x:c r="M447" t="n">
        <x:f>G447-F447</x:f>
        <x:v>5</x:v>
      </x:c>
      <x:c r="N447" t="n">
        <x:f>H447-F447</x:f>
        <x:v>5</x:v>
      </x:c>
    </x:row>
    <x:row r="448">
      <x:c r="A448" s="1" t="str">
        <x:v>PO0447</x:v>
      </x:c>
      <x:c r="B448" s="1" t="str">
        <x:v>SUP08</x:v>
      </x:c>
      <x:c r="C448" s="1" t="str">
        <x:v>Peru</x:v>
      </x:c>
      <x:c r="D448" s="1" t="str">
        <x:v>Ingredients</x:v>
      </x:c>
      <x:c r="E448" s="1" t="str">
        <x:v>Buyer 3</x:v>
      </x:c>
      <x:c r="F448" s="5" t="n">
        <x:v>46100</x:v>
      </x:c>
      <x:c r="G448" s="5" t="n">
        <x:v>46103</x:v>
      </x:c>
      <x:c r="H448" s="5" t="n">
        <x:v>46103</x:v>
      </x:c>
      <x:c r="I448" s="5" t="n">
        <x:v>46125</x:v>
      </x:c>
      <x:c r="J448" s="1" t="n">
        <x:v>2030</x:v>
      </x:c>
      <x:c r="K448" s="6" t="n">
        <x:v>23.88</x:v>
      </x:c>
      <x:c r="L448" s="10" t="n">
        <x:f>J448*K448</x:f>
        <x:v>48476.4</x:v>
      </x:c>
      <x:c r="M448" t="n">
        <x:f>G448-F448</x:f>
        <x:v>3</x:v>
      </x:c>
      <x:c r="N448" t="n">
        <x:f>H448-F448</x:f>
        <x:v>3</x:v>
      </x:c>
    </x:row>
    <x:row r="449">
      <x:c r="A449" s="1" t="str">
        <x:v>PO0448</x:v>
      </x:c>
      <x:c r="B449" s="1" t="str">
        <x:v>SUP12</x:v>
      </x:c>
      <x:c r="C449" s="1" t="str">
        <x:v>Chile</x:v>
      </x:c>
      <x:c r="D449" s="1" t="str">
        <x:v>Maintenance services</x:v>
      </x:c>
      <x:c r="E449" s="1" t="str">
        <x:v>Buyer 4</x:v>
      </x:c>
      <x:c r="F449" s="5" t="n">
        <x:v>46155</x:v>
      </x:c>
      <x:c r="G449" s="5" t="n">
        <x:v>46160</x:v>
      </x:c>
      <x:c r="H449" s="5" t="n">
        <x:v>46160</x:v>
      </x:c>
      <x:c r="I449" s="5" t="n">
        <x:v>46173</x:v>
      </x:c>
      <x:c r="J449" s="1" t="n">
        <x:v>1616</x:v>
      </x:c>
      <x:c r="K449" s="6" t="n">
        <x:v>6.8</x:v>
      </x:c>
      <x:c r="L449" s="10" t="n">
        <x:f>J449*K449</x:f>
        <x:v>10988.8</x:v>
      </x:c>
      <x:c r="M449" t="n">
        <x:f>G449-F449</x:f>
        <x:v>5</x:v>
      </x:c>
      <x:c r="N449" t="n">
        <x:f>H449-F449</x:f>
        <x:v>5</x:v>
      </x:c>
    </x:row>
    <x:row r="450">
      <x:c r="A450" s="1" t="str">
        <x:v>PO0449</x:v>
      </x:c>
      <x:c r="B450" s="1" t="str">
        <x:v>SUP13</x:v>
      </x:c>
      <x:c r="C450" s="1" t="str">
        <x:v>Panama</x:v>
      </x:c>
      <x:c r="D450" s="1" t="str">
        <x:v>Packaging</x:v>
      </x:c>
      <x:c r="E450" s="1" t="str">
        <x:v>Buyer 1</x:v>
      </x:c>
      <x:c r="F450" s="5" t="n">
        <x:v>46183</x:v>
      </x:c>
      <x:c r="G450" s="5" t="n">
        <x:v>46187</x:v>
      </x:c>
      <x:c r="H450" s="5" t="n">
        <x:v>46187</x:v>
      </x:c>
      <x:c r="I450" s="5" t="n">
        <x:v>46201</x:v>
      </x:c>
      <x:c r="J450" s="1" t="n">
        <x:v>3432</x:v>
      </x:c>
      <x:c r="K450" s="6" t="n">
        <x:v>19.67</x:v>
      </x:c>
      <x:c r="L450" s="10" t="n">
        <x:f>J450*K450</x:f>
        <x:v>67507.44</x:v>
      </x:c>
      <x:c r="M450" t="n">
        <x:f>G450-F450</x:f>
        <x:v>4</x:v>
      </x:c>
      <x:c r="N450" t="n">
        <x:f>H450-F450</x:f>
        <x:v>4</x:v>
      </x:c>
    </x:row>
    <x:row r="451">
      <x:c r="A451" s="1" t="str">
        <x:v>PO0450</x:v>
      </x:c>
      <x:c r="B451" s="1" t="str">
        <x:v>SUP12</x:v>
      </x:c>
      <x:c r="C451" s="1" t="str">
        <x:v>Mexico</x:v>
      </x:c>
      <x:c r="D451" s="1" t="str">
        <x:v>Maintenance services</x:v>
      </x:c>
      <x:c r="E451" s="1" t="str">
        <x:v>Buyer 2</x:v>
      </x:c>
      <x:c r="F451" s="5" t="n">
        <x:v>46082</x:v>
      </x:c>
      <x:c r="G451" s="5" t="n">
        <x:v>46086</x:v>
      </x:c>
      <x:c r="H451" s="5" t="n">
        <x:v>46086</x:v>
      </x:c>
      <x:c r="I451" s="5" t="n">
        <x:v>46098</x:v>
      </x:c>
      <x:c r="J451" s="1" t="n">
        <x:v>3126</x:v>
      </x:c>
      <x:c r="K451" s="6" t="n">
        <x:v>16.91</x:v>
      </x:c>
      <x:c r="L451" s="10" t="n">
        <x:f>J451*K451</x:f>
        <x:v>52860.66</x:v>
      </x:c>
      <x:c r="M451" t="n">
        <x:f>G451-F451</x:f>
        <x:v>4</x:v>
      </x:c>
      <x:c r="N451" t="n">
        <x:f>H451-F451</x:f>
        <x:v>4</x:v>
      </x:c>
    </x:row>
    <x:row r="452">
      <x:c r="A452" s="1" t="str">
        <x:v>PO0451</x:v>
      </x:c>
      <x:c r="B452" s="1" t="str">
        <x:v>SUP07</x:v>
      </x:c>
      <x:c r="C452" s="1" t="str">
        <x:v>Colombia</x:v>
      </x:c>
      <x:c r="D452" s="1" t="str">
        <x:v>Packaging</x:v>
      </x:c>
      <x:c r="E452" s="1" t="str">
        <x:v>Buyer 3</x:v>
      </x:c>
      <x:c r="F452" s="5" t="n">
        <x:v>46206</x:v>
      </x:c>
      <x:c r="G452" s="5" t="n">
        <x:v>46210</x:v>
      </x:c>
      <x:c r="H452" s="5" t="n">
        <x:v>46212</x:v>
      </x:c>
      <x:c r="I452" s="5" t="n">
        <x:v>46221</x:v>
      </x:c>
      <x:c r="J452" s="1" t="n">
        <x:v>3067</x:v>
      </x:c>
      <x:c r="K452" s="6" t="n">
        <x:v>20.05</x:v>
      </x:c>
      <x:c r="L452" s="10" t="n">
        <x:f>J452*K452</x:f>
        <x:v>61493.35</x:v>
      </x:c>
      <x:c r="M452" t="n">
        <x:f>G452-F452</x:f>
        <x:v>4</x:v>
      </x:c>
      <x:c r="N452" t="n">
        <x:f>H452-F452</x:f>
        <x:v>6</x:v>
      </x:c>
    </x:row>
    <x:row r="453">
      <x:c r="A453" s="1" t="str">
        <x:v>PO0452</x:v>
      </x:c>
      <x:c r="B453" s="1" t="str">
        <x:v>SUP04</x:v>
      </x:c>
      <x:c r="C453" s="1" t="str">
        <x:v>Costa Rica</x:v>
      </x:c>
      <x:c r="D453" s="1" t="str">
        <x:v>Packaging</x:v>
      </x:c>
      <x:c r="E453" s="1" t="str">
        <x:v>Buyer 4</x:v>
      </x:c>
      <x:c r="F453" s="5" t="n">
        <x:v>46263</x:v>
      </x:c>
      <x:c r="G453" s="5" t="n">
        <x:v>46265</x:v>
      </x:c>
      <x:c r="H453" s="5" t="n">
        <x:v>46265</x:v>
      </x:c>
      <x:c r="I453" s="5" t="n">
        <x:v>46282</x:v>
      </x:c>
      <x:c r="J453" s="1" t="n">
        <x:v>921</x:v>
      </x:c>
      <x:c r="K453" s="6" t="n">
        <x:v>15.39</x:v>
      </x:c>
      <x:c r="L453" s="10" t="n">
        <x:f>J453*K453</x:f>
        <x:v>14174.19</x:v>
      </x:c>
      <x:c r="M453" t="n">
        <x:f>G453-F453</x:f>
        <x:v>2</x:v>
      </x:c>
      <x:c r="N453" t="n">
        <x:f>H453-F453</x:f>
        <x:v>2</x:v>
      </x:c>
    </x:row>
    <x:row r="454">
      <x:c r="A454" s="1" t="str">
        <x:v>PO0453</x:v>
      </x:c>
      <x:c r="B454" s="1" t="str">
        <x:v>SUP05</x:v>
      </x:c>
      <x:c r="C454" s="1" t="str">
        <x:v>Guatemala</x:v>
      </x:c>
      <x:c r="D454" s="1" t="str">
        <x:v>Ingredients</x:v>
      </x:c>
      <x:c r="E454" s="1" t="str">
        <x:v>Buyer 1</x:v>
      </x:c>
      <x:c r="F454" s="5" t="n">
        <x:v>46031</x:v>
      </x:c>
      <x:c r="G454" s="5" t="n">
        <x:v>46032</x:v>
      </x:c>
      <x:c r="H454" s="5" t="n">
        <x:v>46034</x:v>
      </x:c>
      <x:c r="I454" s="5" t="n">
        <x:v>46058</x:v>
      </x:c>
      <x:c r="J454" s="1" t="n">
        <x:v>2408</x:v>
      </x:c>
      <x:c r="K454" s="6" t="n">
        <x:v>20.82</x:v>
      </x:c>
      <x:c r="L454" s="10" t="n">
        <x:f>J454*K454</x:f>
        <x:v>50134.56</x:v>
      </x:c>
      <x:c r="M454" t="n">
        <x:f>G454-F454</x:f>
        <x:v>1</x:v>
      </x:c>
      <x:c r="N454" t="n">
        <x:f>H454-F454</x:f>
        <x:v>3</x:v>
      </x:c>
    </x:row>
    <x:row r="455">
      <x:c r="A455" s="1" t="str">
        <x:v>PO0454</x:v>
      </x:c>
      <x:c r="B455" s="1" t="str">
        <x:v>SUP04</x:v>
      </x:c>
      <x:c r="C455" s="1" t="str">
        <x:v>Peru</x:v>
      </x:c>
      <x:c r="D455" s="1" t="str">
        <x:v>Packaging</x:v>
      </x:c>
      <x:c r="E455" s="1" t="str">
        <x:v>Buyer 2</x:v>
      </x:c>
      <x:c r="F455" s="5" t="n">
        <x:v>46052</x:v>
      </x:c>
      <x:c r="G455" s="5" t="n">
        <x:v>46053</x:v>
      </x:c>
      <x:c r="H455" s="5" t="n">
        <x:v>46053</x:v>
      </x:c>
      <x:c r="I455" s="5" t="n">
        <x:v>46072</x:v>
      </x:c>
      <x:c r="J455" s="1" t="n">
        <x:v>4943</x:v>
      </x:c>
      <x:c r="K455" s="6" t="n">
        <x:v>20.41</x:v>
      </x:c>
      <x:c r="L455" s="10" t="n">
        <x:f>J455*K455</x:f>
        <x:v>100886.63</x:v>
      </x:c>
      <x:c r="M455" t="n">
        <x:f>G455-F455</x:f>
        <x:v>1</x:v>
      </x:c>
      <x:c r="N455" t="n">
        <x:f>H455-F455</x:f>
        <x:v>1</x:v>
      </x:c>
    </x:row>
    <x:row r="456">
      <x:c r="A456" s="1" t="str">
        <x:v>PO0455</x:v>
      </x:c>
      <x:c r="B456" s="1" t="str">
        <x:v>SUP12</x:v>
      </x:c>
      <x:c r="C456" s="1" t="str">
        <x:v>Chile</x:v>
      </x:c>
      <x:c r="D456" s="1" t="str">
        <x:v>Maintenance services</x:v>
      </x:c>
      <x:c r="E456" s="1" t="str">
        <x:v>Buyer 3</x:v>
      </x:c>
      <x:c r="F456" s="5" t="n">
        <x:v>46248</x:v>
      </x:c>
      <x:c r="G456" s="5" t="n">
        <x:v>46249</x:v>
      </x:c>
      <x:c r="H456" s="5" t="n">
        <x:v>46249</x:v>
      </x:c>
      <x:c r="I456" s="5" t="n">
        <x:v>46257</x:v>
      </x:c>
      <x:c r="J456" s="1" t="n">
        <x:v>939</x:v>
      </x:c>
      <x:c r="K456" s="6" t="n">
        <x:v>13.26</x:v>
      </x:c>
      <x:c r="L456" s="10" t="n">
        <x:f>J456*K456</x:f>
        <x:v>12451.14</x:v>
      </x:c>
      <x:c r="M456" t="n">
        <x:f>G456-F456</x:f>
        <x:v>1</x:v>
      </x:c>
      <x:c r="N456" t="n">
        <x:f>H456-F456</x:f>
        <x:v>1</x:v>
      </x:c>
    </x:row>
    <x:row r="457">
      <x:c r="A457" s="1" t="str">
        <x:v>PO0456</x:v>
      </x:c>
      <x:c r="B457" s="1" t="str">
        <x:v>SUP09</x:v>
      </x:c>
      <x:c r="C457" s="1" t="str">
        <x:v>Panama</x:v>
      </x:c>
      <x:c r="D457" s="1" t="str">
        <x:v>Maintenance services</x:v>
      </x:c>
      <x:c r="E457" s="1" t="str">
        <x:v>Buyer 4</x:v>
      </x:c>
      <x:c r="F457" s="5" t="n">
        <x:v>46214</x:v>
      </x:c>
      <x:c r="G457" s="5" t="n">
        <x:v>46215</x:v>
      </x:c>
      <x:c r="H457" s="5" t="n">
        <x:v>46216</x:v>
      </x:c>
      <x:c r="I457" s="5" t="n">
        <x:v>46233</x:v>
      </x:c>
      <x:c r="J457" s="1" t="n">
        <x:v>644</x:v>
      </x:c>
      <x:c r="K457" s="6" t="n">
        <x:v>9.39</x:v>
      </x:c>
      <x:c r="L457" s="10" t="n">
        <x:f>J457*K457</x:f>
        <x:v>6047.160000000001</x:v>
      </x:c>
      <x:c r="M457" t="n">
        <x:f>G457-F457</x:f>
        <x:v>1</x:v>
      </x:c>
      <x:c r="N457" t="n">
        <x:f>H457-F457</x:f>
        <x:v>2</x:v>
      </x:c>
    </x:row>
    <x:row r="458">
      <x:c r="A458" s="1" t="str">
        <x:v>PO0457</x:v>
      </x:c>
      <x:c r="B458" s="1" t="str">
        <x:v>SUP13</x:v>
      </x:c>
      <x:c r="C458" s="1" t="str">
        <x:v>Mexico</x:v>
      </x:c>
      <x:c r="D458" s="1" t="str">
        <x:v>Packaging</x:v>
      </x:c>
      <x:c r="E458" s="1" t="str">
        <x:v>Buyer 1</x:v>
      </x:c>
      <x:c r="F458" s="5" t="n">
        <x:v>46167</x:v>
      </x:c>
      <x:c r="G458" s="5" t="n">
        <x:v>46171</x:v>
      </x:c>
      <x:c r="H458" s="5" t="n">
        <x:v>46171</x:v>
      </x:c>
      <x:c r="I458" s="5" t="n">
        <x:v>46195</x:v>
      </x:c>
      <x:c r="J458" s="1" t="n">
        <x:v>2974</x:v>
      </x:c>
      <x:c r="K458" s="6" t="n">
        <x:v>3.68</x:v>
      </x:c>
      <x:c r="L458" s="10" t="n">
        <x:f>J458*K458</x:f>
        <x:v>10944.32</x:v>
      </x:c>
      <x:c r="M458" t="n">
        <x:f>G458-F458</x:f>
        <x:v>4</x:v>
      </x:c>
      <x:c r="N458" t="n">
        <x:f>H458-F458</x:f>
        <x:v>4</x:v>
      </x:c>
    </x:row>
    <x:row r="459">
      <x:c r="A459" s="1" t="str">
        <x:v>PO0458</x:v>
      </x:c>
      <x:c r="B459" s="1" t="str">
        <x:v>SUP01</x:v>
      </x:c>
      <x:c r="C459" s="1" t="str">
        <x:v>Colombia</x:v>
      </x:c>
      <x:c r="D459" s="1" t="str">
        <x:v>Packaging</x:v>
      </x:c>
      <x:c r="E459" s="1" t="str">
        <x:v>Buyer 2</x:v>
      </x:c>
      <x:c r="F459" s="5" t="n">
        <x:v>46137</x:v>
      </x:c>
      <x:c r="G459" s="5" t="n">
        <x:v>46139</x:v>
      </x:c>
      <x:c r="H459" s="5" t="n">
        <x:v>46140</x:v>
      </x:c>
      <x:c r="I459" s="5" t="n">
        <x:v>46165</x:v>
      </x:c>
      <x:c r="J459" s="1" t="n">
        <x:v>4581</x:v>
      </x:c>
      <x:c r="K459" s="6" t="n">
        <x:v>15.43</x:v>
      </x:c>
      <x:c r="L459" s="10" t="n">
        <x:f>J459*K459</x:f>
        <x:v>70684.83</x:v>
      </x:c>
      <x:c r="M459" t="n">
        <x:f>G459-F459</x:f>
        <x:v>2</x:v>
      </x:c>
      <x:c r="N459" t="n">
        <x:f>H459-F459</x:f>
        <x:v>3</x:v>
      </x:c>
    </x:row>
    <x:row r="460">
      <x:c r="A460" s="1" t="str">
        <x:v>PO0459</x:v>
      </x:c>
      <x:c r="B460" s="1" t="str">
        <x:v>SUP14</x:v>
      </x:c>
      <x:c r="C460" s="1" t="str">
        <x:v>Costa Rica</x:v>
      </x:c>
      <x:c r="D460" s="1" t="str">
        <x:v>Ingredients</x:v>
      </x:c>
      <x:c r="E460" s="1" t="str">
        <x:v>Buyer 3</x:v>
      </x:c>
      <x:c r="F460" s="5" t="n">
        <x:v>46077</x:v>
      </x:c>
      <x:c r="G460" s="5" t="n">
        <x:v>46079</x:v>
      </x:c>
      <x:c r="H460" s="5" t="n">
        <x:v>46081</x:v>
      </x:c>
      <x:c r="I460" s="5" t="n">
        <x:v>46106</x:v>
      </x:c>
      <x:c r="J460" s="1" t="n">
        <x:v>1867</x:v>
      </x:c>
      <x:c r="K460" s="6" t="n">
        <x:v>9.19</x:v>
      </x:c>
      <x:c r="L460" s="10" t="n">
        <x:f>J460*K460</x:f>
        <x:v>17157.73</x:v>
      </x:c>
      <x:c r="M460" t="n">
        <x:f>G460-F460</x:f>
        <x:v>2</x:v>
      </x:c>
      <x:c r="N460" t="n">
        <x:f>H460-F460</x:f>
        <x:v>4</x:v>
      </x:c>
    </x:row>
    <x:row r="461">
      <x:c r="A461" s="1" t="str">
        <x:v>PO0460</x:v>
      </x:c>
      <x:c r="B461" s="1" t="str">
        <x:v>SUP07</x:v>
      </x:c>
      <x:c r="C461" s="1" t="str">
        <x:v>Guatemala</x:v>
      </x:c>
      <x:c r="D461" s="1" t="str">
        <x:v>Packaging</x:v>
      </x:c>
      <x:c r="E461" s="1" t="str">
        <x:v>Buyer 4</x:v>
      </x:c>
      <x:c r="F461" s="5" t="n">
        <x:v>46050</x:v>
      </x:c>
      <x:c r="G461" s="5" t="n">
        <x:v>46051</x:v>
      </x:c>
      <x:c r="H461" s="5" t="n">
        <x:v>46051</x:v>
      </x:c>
      <x:c r="I461" s="5" t="n">
        <x:v>46072</x:v>
      </x:c>
      <x:c r="J461" s="1" t="n">
        <x:v>2435</x:v>
      </x:c>
      <x:c r="K461" s="6" t="n">
        <x:v>15.43</x:v>
      </x:c>
      <x:c r="L461" s="10" t="n">
        <x:f>J461*K461</x:f>
        <x:v>37572.05</x:v>
      </x:c>
      <x:c r="M461" t="n">
        <x:f>G461-F461</x:f>
        <x:v>1</x:v>
      </x:c>
      <x:c r="N461" t="n">
        <x:f>H461-F461</x:f>
        <x:v>1</x:v>
      </x:c>
    </x:row>
    <x:row r="462">
      <x:c r="A462" s="1" t="str">
        <x:v>PO0461</x:v>
      </x:c>
      <x:c r="B462" s="1" t="str">
        <x:v>SUP04</x:v>
      </x:c>
      <x:c r="C462" s="1" t="str">
        <x:v>Peru</x:v>
      </x:c>
      <x:c r="D462" s="1" t="str">
        <x:v>Packaging</x:v>
      </x:c>
      <x:c r="E462" s="1" t="str">
        <x:v>Buyer 1</x:v>
      </x:c>
      <x:c r="F462" s="5" t="n">
        <x:v>46215</x:v>
      </x:c>
      <x:c r="G462" s="5" t="n">
        <x:v>46217</x:v>
      </x:c>
      <x:c r="H462" s="5" t="n">
        <x:v>46219</x:v>
      </x:c>
      <x:c r="I462" s="5" t="n">
        <x:v>46232</x:v>
      </x:c>
      <x:c r="J462" s="1" t="n">
        <x:v>4436</x:v>
      </x:c>
      <x:c r="K462" s="6" t="n">
        <x:v>12.51</x:v>
      </x:c>
      <x:c r="L462" s="10" t="n">
        <x:f>J462*K462</x:f>
        <x:v>55494.36</x:v>
      </x:c>
      <x:c r="M462" t="n">
        <x:f>G462-F462</x:f>
        <x:v>2</x:v>
      </x:c>
      <x:c r="N462" t="n">
        <x:f>H462-F462</x:f>
        <x:v>4</x:v>
      </x:c>
    </x:row>
    <x:row r="463">
      <x:c r="A463" s="1" t="str">
        <x:v>PO0462</x:v>
      </x:c>
      <x:c r="B463" s="1" t="str">
        <x:v>SUP12</x:v>
      </x:c>
      <x:c r="C463" s="1" t="str">
        <x:v>Chile</x:v>
      </x:c>
      <x:c r="D463" s="1" t="str">
        <x:v>Maintenance services</x:v>
      </x:c>
      <x:c r="E463" s="1" t="str">
        <x:v>Buyer 2</x:v>
      </x:c>
      <x:c r="F463" s="5" t="n">
        <x:v>46251</x:v>
      </x:c>
      <x:c r="G463" s="5" t="n">
        <x:v>46253</x:v>
      </x:c>
      <x:c r="H463" s="5" t="n">
        <x:v>46255</x:v>
      </x:c>
      <x:c r="I463" s="5" t="n">
        <x:v>46271</x:v>
      </x:c>
      <x:c r="J463" s="1" t="n">
        <x:v>2534</x:v>
      </x:c>
      <x:c r="K463" s="6" t="n">
        <x:v>16.84</x:v>
      </x:c>
      <x:c r="L463" s="10" t="n">
        <x:f>J463*K463</x:f>
        <x:v>42672.56</x:v>
      </x:c>
      <x:c r="M463" t="n">
        <x:f>G463-F463</x:f>
        <x:v>2</x:v>
      </x:c>
      <x:c r="N463" t="n">
        <x:f>H463-F463</x:f>
        <x:v>4</x:v>
      </x:c>
    </x:row>
    <x:row r="464">
      <x:c r="A464" s="1" t="str">
        <x:v>PO0463</x:v>
      </x:c>
      <x:c r="B464" s="1" t="str">
        <x:v>SUP04</x:v>
      </x:c>
      <x:c r="C464" s="1" t="str">
        <x:v>Panama</x:v>
      </x:c>
      <x:c r="D464" s="1" t="str">
        <x:v>Packaging</x:v>
      </x:c>
      <x:c r="E464" s="1" t="str">
        <x:v>Buyer 3</x:v>
      </x:c>
      <x:c r="F464" s="5" t="n">
        <x:v>46172</x:v>
      </x:c>
      <x:c r="G464" s="5" t="n">
        <x:v>46173</x:v>
      </x:c>
      <x:c r="H464" s="5" t="n">
        <x:v>46173</x:v>
      </x:c>
      <x:c r="I464" s="5" t="n">
        <x:v>46191</x:v>
      </x:c>
      <x:c r="J464" s="1" t="n">
        <x:v>2455</x:v>
      </x:c>
      <x:c r="K464" s="6" t="n">
        <x:v>9.63</x:v>
      </x:c>
      <x:c r="L464" s="10" t="n">
        <x:f>J464*K464</x:f>
        <x:v>23641.65</x:v>
      </x:c>
      <x:c r="M464" t="n">
        <x:f>G464-F464</x:f>
        <x:v>1</x:v>
      </x:c>
      <x:c r="N464" t="n">
        <x:f>H464-F464</x:f>
        <x:v>1</x:v>
      </x:c>
    </x:row>
    <x:row r="465">
      <x:c r="A465" s="1" t="str">
        <x:v>PO0464</x:v>
      </x:c>
      <x:c r="B465" s="1" t="str">
        <x:v>SUP09</x:v>
      </x:c>
      <x:c r="C465" s="1" t="str">
        <x:v>Mexico</x:v>
      </x:c>
      <x:c r="D465" s="1" t="str">
        <x:v>Maintenance services</x:v>
      </x:c>
      <x:c r="E465" s="1" t="str">
        <x:v>Buyer 4</x:v>
      </x:c>
      <x:c r="F465" s="5" t="n">
        <x:v>46177</x:v>
      </x:c>
      <x:c r="G465" s="5" t="n">
        <x:v>46182</x:v>
      </x:c>
      <x:c r="H465" s="5" t="n">
        <x:v>46182</x:v>
      </x:c>
      <x:c r="I465" s="5" t="n">
        <x:v>46190</x:v>
      </x:c>
      <x:c r="J465" s="1" t="n">
        <x:v>3609</x:v>
      </x:c>
      <x:c r="K465" s="6" t="n">
        <x:v>23.74</x:v>
      </x:c>
      <x:c r="L465" s="10" t="n">
        <x:f>J465*K465</x:f>
        <x:v>85677.65999999999</x:v>
      </x:c>
      <x:c r="M465" t="n">
        <x:f>G465-F465</x:f>
        <x:v>5</x:v>
      </x:c>
      <x:c r="N465" t="n">
        <x:f>H465-F465</x:f>
        <x:v>5</x:v>
      </x:c>
    </x:row>
    <x:row r="466">
      <x:c r="A466" s="1" t="str">
        <x:v>PO0465</x:v>
      </x:c>
      <x:c r="B466" s="1" t="str">
        <x:v>SUP12</x:v>
      </x:c>
      <x:c r="C466" s="1" t="str">
        <x:v>Colombia</x:v>
      </x:c>
      <x:c r="D466" s="1" t="str">
        <x:v>Maintenance services</x:v>
      </x:c>
      <x:c r="E466" s="1" t="str">
        <x:v>Buyer 1</x:v>
      </x:c>
      <x:c r="F466" s="5" t="n">
        <x:v>46126</x:v>
      </x:c>
      <x:c r="G466" s="5" t="n">
        <x:v>46131</x:v>
      </x:c>
      <x:c r="H466" s="5" t="n">
        <x:v>46133</x:v>
      </x:c>
      <x:c r="I466" s="5" t="n">
        <x:v>46153</x:v>
      </x:c>
      <x:c r="J466" s="1" t="n">
        <x:v>3785</x:v>
      </x:c>
      <x:c r="K466" s="6" t="n">
        <x:v>8.55</x:v>
      </x:c>
      <x:c r="L466" s="10" t="n">
        <x:f>J466*K466</x:f>
        <x:v>32361.750000000004</x:v>
      </x:c>
      <x:c r="M466" t="n">
        <x:f>G466-F466</x:f>
        <x:v>5</x:v>
      </x:c>
      <x:c r="N466" t="n">
        <x:f>H466-F466</x:f>
        <x:v>7</x:v>
      </x:c>
    </x:row>
    <x:row r="467">
      <x:c r="A467" s="1" t="str">
        <x:v>PO0466</x:v>
      </x:c>
      <x:c r="B467" s="1" t="str">
        <x:v>SUP03</x:v>
      </x:c>
      <x:c r="C467" s="1" t="str">
        <x:v>Costa Rica</x:v>
      </x:c>
      <x:c r="D467" s="1" t="str">
        <x:v>Maintenance services</x:v>
      </x:c>
      <x:c r="E467" s="1" t="str">
        <x:v>Buyer 2</x:v>
      </x:c>
      <x:c r="F467" s="5" t="n">
        <x:v>46043</x:v>
      </x:c>
      <x:c r="G467" s="5" t="n">
        <x:v>46045</x:v>
      </x:c>
      <x:c r="H467" s="5" t="n">
        <x:v>46045</x:v>
      </x:c>
      <x:c r="I467" s="5" t="n">
        <x:v>46069</x:v>
      </x:c>
      <x:c r="J467" s="1" t="n">
        <x:v>3627</x:v>
      </x:c>
      <x:c r="K467" s="6" t="n">
        <x:v>16.08</x:v>
      </x:c>
      <x:c r="L467" s="10" t="n">
        <x:f>J467*K467</x:f>
        <x:v>58322.159999999996</x:v>
      </x:c>
      <x:c r="M467" t="n">
        <x:f>G467-F467</x:f>
        <x:v>2</x:v>
      </x:c>
      <x:c r="N467" t="n">
        <x:f>H467-F467</x:f>
        <x:v>2</x:v>
      </x:c>
    </x:row>
    <x:row r="468">
      <x:c r="A468" s="1" t="str">
        <x:v>PO0467</x:v>
      </x:c>
      <x:c r="B468" s="1" t="str">
        <x:v>SUP09</x:v>
      </x:c>
      <x:c r="C468" s="1" t="str">
        <x:v>Guatemala</x:v>
      </x:c>
      <x:c r="D468" s="1" t="str">
        <x:v>Maintenance services</x:v>
      </x:c>
      <x:c r="E468" s="1" t="str">
        <x:v>Buyer 3</x:v>
      </x:c>
      <x:c r="F468" s="5" t="n">
        <x:v>46078</x:v>
      </x:c>
      <x:c r="G468" s="5" t="n">
        <x:v>46079</x:v>
      </x:c>
      <x:c r="H468" s="5" t="n">
        <x:v>46081</x:v>
      </x:c>
      <x:c r="I468" s="5" t="n">
        <x:v>46106</x:v>
      </x:c>
      <x:c r="J468" s="1" t="n">
        <x:v>562</x:v>
      </x:c>
      <x:c r="K468" s="6" t="n">
        <x:v>3.94</x:v>
      </x:c>
      <x:c r="L468" s="10" t="n">
        <x:f>J468*K468</x:f>
        <x:v>2214.2799999999997</x:v>
      </x:c>
      <x:c r="M468" t="n">
        <x:f>G468-F468</x:f>
        <x:v>1</x:v>
      </x:c>
      <x:c r="N468" t="n">
        <x:f>H468-F468</x:f>
        <x:v>3</x:v>
      </x:c>
    </x:row>
    <x:row r="469">
      <x:c r="A469" s="1" t="str">
        <x:v>PO0468</x:v>
      </x:c>
      <x:c r="B469" s="1" t="str">
        <x:v>SUP01</x:v>
      </x:c>
      <x:c r="C469" s="1" t="str">
        <x:v>Peru</x:v>
      </x:c>
      <x:c r="D469" s="1" t="str">
        <x:v>Packaging</x:v>
      </x:c>
      <x:c r="E469" s="1" t="str">
        <x:v>Buyer 4</x:v>
      </x:c>
      <x:c r="F469" s="5" t="n">
        <x:v>46040</x:v>
      </x:c>
      <x:c r="G469" s="5" t="n">
        <x:v>46045</x:v>
      </x:c>
      <x:c r="H469" s="5" t="n">
        <x:v>46047</x:v>
      </x:c>
      <x:c r="I469" s="5" t="n">
        <x:v>46063</x:v>
      </x:c>
      <x:c r="J469" s="1" t="n">
        <x:v>128</x:v>
      </x:c>
      <x:c r="K469" s="6" t="n">
        <x:v>7.36</x:v>
      </x:c>
      <x:c r="L469" s="10" t="n">
        <x:f>J469*K469</x:f>
        <x:v>942.08</x:v>
      </x:c>
      <x:c r="M469" t="n">
        <x:f>G469-F469</x:f>
        <x:v>5</x:v>
      </x:c>
      <x:c r="N469" t="n">
        <x:f>H469-F469</x:f>
        <x:v>7</x:v>
      </x:c>
    </x:row>
    <x:row r="470">
      <x:c r="A470" s="1" t="str">
        <x:v>PO0469</x:v>
      </x:c>
      <x:c r="B470" s="1" t="str">
        <x:v>SUP12</x:v>
      </x:c>
      <x:c r="C470" s="1" t="str">
        <x:v>Chile</x:v>
      </x:c>
      <x:c r="D470" s="1" t="str">
        <x:v>Maintenance services</x:v>
      </x:c>
      <x:c r="E470" s="1" t="str">
        <x:v>Buyer 1</x:v>
      </x:c>
      <x:c r="F470" s="5" t="n">
        <x:v>46252</x:v>
      </x:c>
      <x:c r="G470" s="5" t="n">
        <x:v>46255</x:v>
      </x:c>
      <x:c r="H470" s="5" t="n">
        <x:v>46255</x:v>
      </x:c>
      <x:c r="I470" s="5" t="n">
        <x:v>46274</x:v>
      </x:c>
      <x:c r="J470" s="1" t="n">
        <x:v>1735</x:v>
      </x:c>
      <x:c r="K470" s="6" t="n">
        <x:v>16.44</x:v>
      </x:c>
      <x:c r="L470" s="10" t="n">
        <x:f>J470*K470</x:f>
        <x:v>28523.4</x:v>
      </x:c>
      <x:c r="M470" t="n">
        <x:f>G470-F470</x:f>
        <x:v>3</x:v>
      </x:c>
      <x:c r="N470" t="n">
        <x:f>H470-F470</x:f>
        <x:v>3</x:v>
      </x:c>
    </x:row>
    <x:row r="471">
      <x:c r="A471" s="1" t="str">
        <x:v>PO0470</x:v>
      </x:c>
      <x:c r="B471" s="1" t="str">
        <x:v>SUP13</x:v>
      </x:c>
      <x:c r="C471" s="1" t="str">
        <x:v>Panama</x:v>
      </x:c>
      <x:c r="D471" s="1" t="str">
        <x:v>Packaging</x:v>
      </x:c>
      <x:c r="E471" s="1" t="str">
        <x:v>Buyer 2</x:v>
      </x:c>
      <x:c r="F471" s="5" t="n">
        <x:v>46027</x:v>
      </x:c>
      <x:c r="G471" s="5" t="n">
        <x:v>46032</x:v>
      </x:c>
      <x:c r="H471" s="5" t="n">
        <x:v>46033</x:v>
      </x:c>
      <x:c r="I471" s="5" t="n">
        <x:v>46049</x:v>
      </x:c>
      <x:c r="J471" s="1" t="n">
        <x:v>218</x:v>
      </x:c>
      <x:c r="K471" s="6" t="n">
        <x:v>5.65</x:v>
      </x:c>
      <x:c r="L471" s="10" t="n">
        <x:f>J471*K471</x:f>
        <x:v>1231.7</x:v>
      </x:c>
      <x:c r="M471" t="n">
        <x:f>G471-F471</x:f>
        <x:v>5</x:v>
      </x:c>
      <x:c r="N471" t="n">
        <x:f>H471-F471</x:f>
        <x:v>6</x:v>
      </x:c>
    </x:row>
    <x:row r="472">
      <x:c r="A472" s="1" t="str">
        <x:v>PO0471</x:v>
      </x:c>
      <x:c r="B472" s="1" t="str">
        <x:v>SUP14</x:v>
      </x:c>
      <x:c r="C472" s="1" t="str">
        <x:v>Mexico</x:v>
      </x:c>
      <x:c r="D472" s="1" t="str">
        <x:v>Ingredients</x:v>
      </x:c>
      <x:c r="E472" s="1" t="str">
        <x:v>Buyer 3</x:v>
      </x:c>
      <x:c r="F472" s="5" t="n">
        <x:v>46116</x:v>
      </x:c>
      <x:c r="G472" s="5" t="n">
        <x:v>46120</x:v>
      </x:c>
      <x:c r="H472" s="5" t="n">
        <x:v>46120</x:v>
      </x:c>
      <x:c r="I472" s="5" t="n">
        <x:v>46131</x:v>
      </x:c>
      <x:c r="J472" s="1" t="n">
        <x:v>2256</x:v>
      </x:c>
      <x:c r="K472" s="6" t="n">
        <x:v>21.59</x:v>
      </x:c>
      <x:c r="L472" s="10" t="n">
        <x:f>J472*K472</x:f>
        <x:v>48707.04</x:v>
      </x:c>
      <x:c r="M472" t="n">
        <x:f>G472-F472</x:f>
        <x:v>4</x:v>
      </x:c>
      <x:c r="N472" t="n">
        <x:f>H472-F472</x:f>
        <x:v>4</x:v>
      </x:c>
    </x:row>
    <x:row r="473">
      <x:c r="A473" s="1" t="str">
        <x:v>PO0472</x:v>
      </x:c>
      <x:c r="B473" s="1" t="str">
        <x:v>SUP10</x:v>
      </x:c>
      <x:c r="C473" s="1" t="str">
        <x:v>Colombia</x:v>
      </x:c>
      <x:c r="D473" s="1" t="str">
        <x:v>Packaging</x:v>
      </x:c>
      <x:c r="E473" s="1" t="str">
        <x:v>Buyer 4</x:v>
      </x:c>
      <x:c r="F473" s="5" t="n">
        <x:v>46067</x:v>
      </x:c>
      <x:c r="G473" s="5" t="n">
        <x:v>46070</x:v>
      </x:c>
      <x:c r="H473" s="5" t="n">
        <x:v>46070</x:v>
      </x:c>
      <x:c r="I473" s="5" t="n">
        <x:v>46093</x:v>
      </x:c>
      <x:c r="J473" s="1" t="n">
        <x:v>998</x:v>
      </x:c>
      <x:c r="K473" s="6" t="n">
        <x:v>1.63</x:v>
      </x:c>
      <x:c r="L473" s="10" t="n">
        <x:f>J473*K473</x:f>
        <x:v>1626.7399999999998</x:v>
      </x:c>
      <x:c r="M473" t="n">
        <x:f>G473-F473</x:f>
        <x:v>3</x:v>
      </x:c>
      <x:c r="N473" t="n">
        <x:f>H473-F473</x:f>
        <x:v>3</x:v>
      </x:c>
    </x:row>
    <x:row r="474">
      <x:c r="A474" s="1" t="str">
        <x:v>PO0473</x:v>
      </x:c>
      <x:c r="B474" s="1" t="str">
        <x:v>SUP14</x:v>
      </x:c>
      <x:c r="C474" s="1" t="str">
        <x:v>Costa Rica</x:v>
      </x:c>
      <x:c r="D474" s="1" t="str">
        <x:v>Ingredients</x:v>
      </x:c>
      <x:c r="E474" s="1" t="str">
        <x:v>Buyer 1</x:v>
      </x:c>
      <x:c r="F474" s="5" t="n">
        <x:v>46223</x:v>
      </x:c>
      <x:c r="G474" s="5" t="n">
        <x:v>46224</x:v>
      </x:c>
      <x:c r="H474" s="5" t="n">
        <x:v>46224</x:v>
      </x:c>
      <x:c r="I474" s="5" t="n">
        <x:v>46242</x:v>
      </x:c>
      <x:c r="J474" s="1" t="n">
        <x:v>1443</x:v>
      </x:c>
      <x:c r="K474" s="6" t="n">
        <x:v>12.38</x:v>
      </x:c>
      <x:c r="L474" s="10" t="n">
        <x:f>J474*K474</x:f>
        <x:v>17864.34</x:v>
      </x:c>
      <x:c r="M474" t="n">
        <x:f>G474-F474</x:f>
        <x:v>1</x:v>
      </x:c>
      <x:c r="N474" t="n">
        <x:f>H474-F474</x:f>
        <x:v>1</x:v>
      </x:c>
    </x:row>
    <x:row r="475">
      <x:c r="A475" s="1" t="str">
        <x:v>PO0474</x:v>
      </x:c>
      <x:c r="B475" s="1" t="str">
        <x:v>SUP07</x:v>
      </x:c>
      <x:c r="C475" s="1" t="str">
        <x:v>Guatemala</x:v>
      </x:c>
      <x:c r="D475" s="1" t="str">
        <x:v>Packaging</x:v>
      </x:c>
      <x:c r="E475" s="1" t="str">
        <x:v>Buyer 2</x:v>
      </x:c>
      <x:c r="F475" s="5" t="n">
        <x:v>46263</x:v>
      </x:c>
      <x:c r="G475" s="5" t="n">
        <x:v>46264</x:v>
      </x:c>
      <x:c r="H475" s="5" t="n">
        <x:v>46266</x:v>
      </x:c>
      <x:c r="I475" s="5" t="n">
        <x:v>46280</x:v>
      </x:c>
      <x:c r="J475" s="1" t="n">
        <x:v>2359</x:v>
      </x:c>
      <x:c r="K475" s="6" t="n">
        <x:v>20.78</x:v>
      </x:c>
      <x:c r="L475" s="10" t="n">
        <x:f>J475*K475</x:f>
        <x:v>49020.020000000004</x:v>
      </x:c>
      <x:c r="M475" t="n">
        <x:f>G475-F475</x:f>
        <x:v>1</x:v>
      </x:c>
      <x:c r="N475" t="n">
        <x:f>H475-F475</x:f>
        <x:v>3</x:v>
      </x:c>
    </x:row>
    <x:row r="476">
      <x:c r="A476" s="1" t="str">
        <x:v>PO0475</x:v>
      </x:c>
      <x:c r="B476" s="1" t="str">
        <x:v>SUP14</x:v>
      </x:c>
      <x:c r="C476" s="1" t="str">
        <x:v>Peru</x:v>
      </x:c>
      <x:c r="D476" s="1" t="str">
        <x:v>Ingredients</x:v>
      </x:c>
      <x:c r="E476" s="1" t="str">
        <x:v>Buyer 3</x:v>
      </x:c>
      <x:c r="F476" s="5" t="n">
        <x:v>46130</x:v>
      </x:c>
      <x:c r="G476" s="5" t="n">
        <x:v>46132</x:v>
      </x:c>
      <x:c r="H476" s="5" t="n">
        <x:v>46132</x:v>
      </x:c>
      <x:c r="I476" s="5" t="n">
        <x:v>46156</x:v>
      </x:c>
      <x:c r="J476" s="1" t="n">
        <x:v>944</x:v>
      </x:c>
      <x:c r="K476" s="6" t="n">
        <x:v>3.93</x:v>
      </x:c>
      <x:c r="L476" s="10" t="n">
        <x:f>J476*K476</x:f>
        <x:v>3709.92</x:v>
      </x:c>
      <x:c r="M476" t="n">
        <x:f>G476-F476</x:f>
        <x:v>2</x:v>
      </x:c>
      <x:c r="N476" t="n">
        <x:f>H476-F476</x:f>
        <x:v>2</x:v>
      </x:c>
    </x:row>
    <x:row r="477">
      <x:c r="A477" s="1" t="str">
        <x:v>PO0476</x:v>
      </x:c>
      <x:c r="B477" s="1" t="str">
        <x:v>SUP08</x:v>
      </x:c>
      <x:c r="C477" s="1" t="str">
        <x:v>Chile</x:v>
      </x:c>
      <x:c r="D477" s="1" t="str">
        <x:v>Ingredients</x:v>
      </x:c>
      <x:c r="E477" s="1" t="str">
        <x:v>Buyer 4</x:v>
      </x:c>
      <x:c r="F477" s="5" t="n">
        <x:v>46175</x:v>
      </x:c>
      <x:c r="G477" s="5" t="n">
        <x:v>46177</x:v>
      </x:c>
      <x:c r="H477" s="5" t="n">
        <x:v>46179</x:v>
      </x:c>
      <x:c r="I477" s="5" t="n">
        <x:v>46200</x:v>
      </x:c>
      <x:c r="J477" s="1" t="n">
        <x:v>3405</x:v>
      </x:c>
      <x:c r="K477" s="6" t="n">
        <x:v>2.01</x:v>
      </x:c>
      <x:c r="L477" s="10" t="n">
        <x:f>J477*K477</x:f>
        <x:v>6844.049999999999</x:v>
      </x:c>
      <x:c r="M477" t="n">
        <x:f>G477-F477</x:f>
        <x:v>2</x:v>
      </x:c>
      <x:c r="N477" t="n">
        <x:f>H477-F477</x:f>
        <x:v>4</x:v>
      </x:c>
    </x:row>
    <x:row r="478">
      <x:c r="A478" s="1" t="str">
        <x:v>PO0477</x:v>
      </x:c>
      <x:c r="B478" s="1" t="str">
        <x:v>SUP09</x:v>
      </x:c>
      <x:c r="C478" s="1" t="str">
        <x:v>Panama</x:v>
      </x:c>
      <x:c r="D478" s="1" t="str">
        <x:v>Maintenance services</x:v>
      </x:c>
      <x:c r="E478" s="1" t="str">
        <x:v>Buyer 1</x:v>
      </x:c>
      <x:c r="F478" s="5" t="n">
        <x:v>46211</x:v>
      </x:c>
      <x:c r="G478" s="5" t="n">
        <x:v>46216</x:v>
      </x:c>
      <x:c r="H478" s="5" t="n">
        <x:v>46217</x:v>
      </x:c>
      <x:c r="I478" s="5" t="n">
        <x:v>46229</x:v>
      </x:c>
      <x:c r="J478" s="1" t="n">
        <x:v>1847</x:v>
      </x:c>
      <x:c r="K478" s="6" t="n">
        <x:v>24.92</x:v>
      </x:c>
      <x:c r="L478" s="10" t="n">
        <x:f>J478*K478</x:f>
        <x:v>46027.240000000005</x:v>
      </x:c>
      <x:c r="M478" t="n">
        <x:f>G478-F478</x:f>
        <x:v>5</x:v>
      </x:c>
      <x:c r="N478" t="n">
        <x:f>H478-F478</x:f>
        <x:v>6</x:v>
      </x:c>
    </x:row>
    <x:row r="479">
      <x:c r="A479" s="1" t="str">
        <x:v>PO0478</x:v>
      </x:c>
      <x:c r="B479" s="1" t="str">
        <x:v>SUP10</x:v>
      </x:c>
      <x:c r="C479" s="1" t="str">
        <x:v>Mexico</x:v>
      </x:c>
      <x:c r="D479" s="1" t="str">
        <x:v>Packaging</x:v>
      </x:c>
      <x:c r="E479" s="1" t="str">
        <x:v>Buyer 2</x:v>
      </x:c>
      <x:c r="F479" s="5" t="n">
        <x:v>46132</x:v>
      </x:c>
      <x:c r="G479" s="5" t="n">
        <x:v>46136</x:v>
      </x:c>
      <x:c r="H479" s="5" t="n">
        <x:v>46138</x:v>
      </x:c>
      <x:c r="I479" s="5" t="n">
        <x:v>46149</x:v>
      </x:c>
      <x:c r="J479" s="1" t="n">
        <x:v>4034</x:v>
      </x:c>
      <x:c r="K479" s="6" t="n">
        <x:v>24.28</x:v>
      </x:c>
      <x:c r="L479" s="10" t="n">
        <x:f>J479*K479</x:f>
        <x:v>97945.52</x:v>
      </x:c>
      <x:c r="M479" t="n">
        <x:f>G479-F479</x:f>
        <x:v>4</x:v>
      </x:c>
      <x:c r="N479" t="n">
        <x:f>H479-F479</x:f>
        <x:v>6</x:v>
      </x:c>
    </x:row>
    <x:row r="480">
      <x:c r="A480" s="1" t="str">
        <x:v>PO0479</x:v>
      </x:c>
      <x:c r="B480" s="1" t="str">
        <x:v>SUP08</x:v>
      </x:c>
      <x:c r="C480" s="1" t="str">
        <x:v>Colombia</x:v>
      </x:c>
      <x:c r="D480" s="1" t="str">
        <x:v>Ingredients</x:v>
      </x:c>
      <x:c r="E480" s="1" t="str">
        <x:v>Buyer 3</x:v>
      </x:c>
      <x:c r="F480" s="5" t="n">
        <x:v>46048</x:v>
      </x:c>
      <x:c r="G480" s="5" t="n">
        <x:v>46051</x:v>
      </x:c>
      <x:c r="H480" s="5" t="n">
        <x:v>46051</x:v>
      </x:c>
      <x:c r="I480" s="5" t="n">
        <x:v>46076</x:v>
      </x:c>
      <x:c r="J480" s="1" t="n">
        <x:v>4300</x:v>
      </x:c>
      <x:c r="K480" s="6" t="n">
        <x:v>24.95</x:v>
      </x:c>
      <x:c r="L480" s="10" t="n">
        <x:f>J480*K480</x:f>
        <x:v>107285</x:v>
      </x:c>
      <x:c r="M480" t="n">
        <x:f>G480-F480</x:f>
        <x:v>3</x:v>
      </x:c>
      <x:c r="N480" t="n">
        <x:f>H480-F480</x:f>
        <x:v>3</x:v>
      </x:c>
    </x:row>
    <x:row r="481">
      <x:c r="A481" s="1" t="str">
        <x:v>PO0480</x:v>
      </x:c>
      <x:c r="B481" s="1" t="str">
        <x:v>SUP03</x:v>
      </x:c>
      <x:c r="C481" s="1" t="str">
        <x:v>Costa Rica</x:v>
      </x:c>
      <x:c r="D481" s="1" t="str">
        <x:v>Maintenance services</x:v>
      </x:c>
      <x:c r="E481" s="1" t="str">
        <x:v>Buyer 4</x:v>
      </x:c>
      <x:c r="F481" s="5" t="n">
        <x:v>46278</x:v>
      </x:c>
      <x:c r="G481" s="5" t="n">
        <x:v>46282</x:v>
      </x:c>
      <x:c r="H481" s="5" t="n">
        <x:v>46283</x:v>
      </x:c>
      <x:c r="I481" s="5" t="n">
        <x:v>46298</x:v>
      </x:c>
      <x:c r="J481" s="1" t="n">
        <x:v>2206</x:v>
      </x:c>
      <x:c r="K481" s="6" t="n">
        <x:v>22.91</x:v>
      </x:c>
      <x:c r="L481" s="10" t="n">
        <x:f>J481*K481</x:f>
        <x:v>50539.46</x:v>
      </x:c>
      <x:c r="M481" t="n">
        <x:f>G481-F481</x:f>
        <x:v>4</x:v>
      </x:c>
      <x:c r="N481" t="n">
        <x:f>H481-F481</x:f>
        <x:v>5</x:v>
      </x:c>
    </x:row>
    <x:row r="482">
      <x:c r="A482" s="1" t="str">
        <x:v>PO0481</x:v>
      </x:c>
      <x:c r="B482" s="1" t="str">
        <x:v>SUP13</x:v>
      </x:c>
      <x:c r="C482" s="1" t="str">
        <x:v>Guatemala</x:v>
      </x:c>
      <x:c r="D482" s="1" t="str">
        <x:v>Packaging</x:v>
      </x:c>
      <x:c r="E482" s="1" t="str">
        <x:v>Buyer 1</x:v>
      </x:c>
      <x:c r="F482" s="5" t="n">
        <x:v>46207</x:v>
      </x:c>
      <x:c r="G482" s="5" t="n">
        <x:v>46210</x:v>
      </x:c>
      <x:c r="H482" s="5" t="n">
        <x:v>46212</x:v>
      </x:c>
      <x:c r="I482" s="5" t="n">
        <x:v>46232</x:v>
      </x:c>
      <x:c r="J482" s="1" t="n">
        <x:v>3904</x:v>
      </x:c>
      <x:c r="K482" s="6" t="n">
        <x:v>5.16</x:v>
      </x:c>
      <x:c r="L482" s="10" t="n">
        <x:f>J482*K482</x:f>
        <x:v>20144.64</x:v>
      </x:c>
      <x:c r="M482" t="n">
        <x:f>G482-F482</x:f>
        <x:v>3</x:v>
      </x:c>
      <x:c r="N482" t="n">
        <x:f>H482-F482</x:f>
        <x:v>5</x:v>
      </x:c>
    </x:row>
    <x:row r="483">
      <x:c r="A483" s="1" t="str">
        <x:v>PO0482</x:v>
      </x:c>
      <x:c r="B483" s="1" t="str">
        <x:v>SUP03</x:v>
      </x:c>
      <x:c r="C483" s="1" t="str">
        <x:v>Peru</x:v>
      </x:c>
      <x:c r="D483" s="1" t="str">
        <x:v>Maintenance services</x:v>
      </x:c>
      <x:c r="E483" s="1" t="str">
        <x:v>Buyer 2</x:v>
      </x:c>
      <x:c r="F483" s="5" t="n">
        <x:v>46209</x:v>
      </x:c>
      <x:c r="G483" s="5" t="n">
        <x:v>46217</x:v>
      </x:c>
      <x:c r="H483" s="5" t="n">
        <x:v>46219</x:v>
      </x:c>
      <x:c r="I483" s="5" t="n">
        <x:v>46232</x:v>
      </x:c>
      <x:c r="J483" s="1" t="n">
        <x:v>128</x:v>
      </x:c>
      <x:c r="K483" s="6" t="n">
        <x:v>3.52</x:v>
      </x:c>
      <x:c r="L483" s="10" t="n">
        <x:f>J483*K483</x:f>
        <x:v>450.56</x:v>
      </x:c>
      <x:c r="M483" t="n">
        <x:f>G483-F483</x:f>
        <x:v>8</x:v>
      </x:c>
      <x:c r="N483" t="n">
        <x:f>H483-F483</x:f>
        <x:v>10</x:v>
      </x:c>
    </x:row>
    <x:row r="484">
      <x:c r="A484" s="1" t="str">
        <x:v>PO0483</x:v>
      </x:c>
      <x:c r="B484" s="1" t="str">
        <x:v>SUP03</x:v>
      </x:c>
      <x:c r="C484" s="1" t="str">
        <x:v>Chile</x:v>
      </x:c>
      <x:c r="D484" s="1" t="str">
        <x:v>Maintenance services</x:v>
      </x:c>
      <x:c r="E484" s="1" t="str">
        <x:v>Buyer 3</x:v>
      </x:c>
      <x:c r="F484" s="5" t="n">
        <x:v>46074</x:v>
      </x:c>
      <x:c r="G484" s="5" t="n">
        <x:v>46078</x:v>
      </x:c>
      <x:c r="H484" s="5" t="n">
        <x:v>46080</x:v>
      </x:c>
      <x:c r="I484" s="5" t="n">
        <x:v>46089</x:v>
      </x:c>
      <x:c r="J484" s="1" t="n">
        <x:v>1889</x:v>
      </x:c>
      <x:c r="K484" s="6" t="n">
        <x:v>23.55</x:v>
      </x:c>
      <x:c r="L484" s="10" t="n">
        <x:f>J484*K484</x:f>
        <x:v>44485.950000000004</x:v>
      </x:c>
      <x:c r="M484" t="n">
        <x:f>G484-F484</x:f>
        <x:v>4</x:v>
      </x:c>
      <x:c r="N484" t="n">
        <x:f>H484-F484</x:f>
        <x:v>6</x:v>
      </x:c>
    </x:row>
    <x:row r="485">
      <x:c r="A485" s="1" t="str">
        <x:v>PO0484</x:v>
      </x:c>
      <x:c r="B485" s="1" t="str">
        <x:v>SUP12</x:v>
      </x:c>
      <x:c r="C485" s="1" t="str">
        <x:v>Panama</x:v>
      </x:c>
      <x:c r="D485" s="1" t="str">
        <x:v>Maintenance services</x:v>
      </x:c>
      <x:c r="E485" s="1" t="str">
        <x:v>Buyer 4</x:v>
      </x:c>
      <x:c r="F485" s="5" t="n">
        <x:v>46203</x:v>
      </x:c>
      <x:c r="G485" s="5" t="n">
        <x:v>46204</x:v>
      </x:c>
      <x:c r="H485" s="5" t="n">
        <x:v>46204</x:v>
      </x:c>
      <x:c r="I485" s="5" t="n">
        <x:v>46229</x:v>
      </x:c>
      <x:c r="J485" s="1" t="n">
        <x:v>4549</x:v>
      </x:c>
      <x:c r="K485" s="6" t="n">
        <x:v>6.43</x:v>
      </x:c>
      <x:c r="L485" s="10" t="n">
        <x:f>J485*K485</x:f>
        <x:v>29250.07</x:v>
      </x:c>
      <x:c r="M485" t="n">
        <x:f>G485-F485</x:f>
        <x:v>1</x:v>
      </x:c>
      <x:c r="N485" t="n">
        <x:f>H485-F485</x:f>
        <x:v>1</x:v>
      </x:c>
    </x:row>
    <x:row r="486">
      <x:c r="A486" s="1" t="str">
        <x:v>PO0485</x:v>
      </x:c>
      <x:c r="B486" s="1" t="str">
        <x:v>SUP13</x:v>
      </x:c>
      <x:c r="C486" s="1" t="str">
        <x:v>Mexico</x:v>
      </x:c>
      <x:c r="D486" s="1" t="str">
        <x:v>Packaging</x:v>
      </x:c>
      <x:c r="E486" s="1" t="str">
        <x:v>Buyer 1</x:v>
      </x:c>
      <x:c r="F486" s="5" t="n">
        <x:v>46136</x:v>
      </x:c>
      <x:c r="G486" s="5" t="n">
        <x:v>46139</x:v>
      </x:c>
      <x:c r="H486" s="5" t="n">
        <x:v>46141</x:v>
      </x:c>
      <x:c r="I486" s="5" t="n">
        <x:v>46157</x:v>
      </x:c>
      <x:c r="J486" s="1" t="n">
        <x:v>2278</x:v>
      </x:c>
      <x:c r="K486" s="6" t="n">
        <x:v>22.82</x:v>
      </x:c>
      <x:c r="L486" s="10" t="n">
        <x:f>J486*K486</x:f>
        <x:v>51983.96</x:v>
      </x:c>
      <x:c r="M486" t="n">
        <x:f>G486-F486</x:f>
        <x:v>3</x:v>
      </x:c>
      <x:c r="N486" t="n">
        <x:f>H486-F486</x:f>
        <x:v>5</x:v>
      </x:c>
    </x:row>
    <x:row r="487">
      <x:c r="A487" s="1" t="str">
        <x:v>PO0486</x:v>
      </x:c>
      <x:c r="B487" s="1" t="str">
        <x:v>SUP10</x:v>
      </x:c>
      <x:c r="C487" s="1" t="str">
        <x:v>Colombia</x:v>
      </x:c>
      <x:c r="D487" s="1" t="str">
        <x:v>Packaging</x:v>
      </x:c>
      <x:c r="E487" s="1" t="str">
        <x:v>Buyer 2</x:v>
      </x:c>
      <x:c r="F487" s="5" t="n">
        <x:v>46231</x:v>
      </x:c>
      <x:c r="G487" s="5" t="n">
        <x:v>46234</x:v>
      </x:c>
      <x:c r="H487" s="5" t="n">
        <x:v>46236</x:v>
      </x:c>
      <x:c r="I487" s="5" t="n">
        <x:v>46248</x:v>
      </x:c>
      <x:c r="J487" s="1" t="n">
        <x:v>4166</x:v>
      </x:c>
      <x:c r="K487" s="6" t="n">
        <x:v>15.88</x:v>
      </x:c>
      <x:c r="L487" s="10" t="n">
        <x:f>J487*K487</x:f>
        <x:v>66156.08</x:v>
      </x:c>
      <x:c r="M487" t="n">
        <x:f>G487-F487</x:f>
        <x:v>3</x:v>
      </x:c>
      <x:c r="N487" t="n">
        <x:f>H487-F487</x:f>
        <x:v>5</x:v>
      </x:c>
    </x:row>
    <x:row r="488">
      <x:c r="A488" s="1" t="str">
        <x:v>PO0487</x:v>
      </x:c>
      <x:c r="B488" s="1" t="str">
        <x:v>SUP12</x:v>
      </x:c>
      <x:c r="C488" s="1" t="str">
        <x:v>Costa Rica</x:v>
      </x:c>
      <x:c r="D488" s="1" t="str">
        <x:v>Maintenance services</x:v>
      </x:c>
      <x:c r="E488" s="1" t="str">
        <x:v>Buyer 3</x:v>
      </x:c>
      <x:c r="F488" s="5" t="n">
        <x:v>46269</x:v>
      </x:c>
      <x:c r="G488" s="5" t="n">
        <x:v>46274</x:v>
      </x:c>
      <x:c r="H488" s="5" t="n">
        <x:v>46274</x:v>
      </x:c>
      <x:c r="I488" s="5" t="n">
        <x:v>46289</x:v>
      </x:c>
      <x:c r="J488" s="1" t="n">
        <x:v>2766</x:v>
      </x:c>
      <x:c r="K488" s="6" t="n">
        <x:v>7.02</x:v>
      </x:c>
      <x:c r="L488" s="10" t="n">
        <x:f>J488*K488</x:f>
        <x:v>19417.32</x:v>
      </x:c>
      <x:c r="M488" t="n">
        <x:f>G488-F488</x:f>
        <x:v>5</x:v>
      </x:c>
      <x:c r="N488" t="n">
        <x:f>H488-F488</x:f>
        <x:v>5</x:v>
      </x:c>
    </x:row>
    <x:row r="489">
      <x:c r="A489" s="1" t="str">
        <x:v>PO0488</x:v>
      </x:c>
      <x:c r="B489" s="1" t="str">
        <x:v>SUP10</x:v>
      </x:c>
      <x:c r="C489" s="1" t="str">
        <x:v>Guatemala</x:v>
      </x:c>
      <x:c r="D489" s="1" t="str">
        <x:v>Packaging</x:v>
      </x:c>
      <x:c r="E489" s="1" t="str">
        <x:v>Buyer 4</x:v>
      </x:c>
      <x:c r="F489" s="5" t="n">
        <x:v>46257</x:v>
      </x:c>
      <x:c r="G489" s="5" t="n">
        <x:v>46259</x:v>
      </x:c>
      <x:c r="H489" s="5" t="n">
        <x:v>46260</x:v>
      </x:c>
      <x:c r="I489" s="5" t="n">
        <x:v>46273</x:v>
      </x:c>
      <x:c r="J489" s="1" t="n">
        <x:v>4315</x:v>
      </x:c>
      <x:c r="K489" s="6" t="n">
        <x:v>16.58</x:v>
      </x:c>
      <x:c r="L489" s="10" t="n">
        <x:f>J489*K489</x:f>
        <x:v>71542.7</x:v>
      </x:c>
      <x:c r="M489" t="n">
        <x:f>G489-F489</x:f>
        <x:v>2</x:v>
      </x:c>
      <x:c r="N489" t="n">
        <x:f>H489-F489</x:f>
        <x:v>3</x:v>
      </x:c>
    </x:row>
    <x:row r="490">
      <x:c r="A490" s="1" t="str">
        <x:v>PO0489</x:v>
      </x:c>
      <x:c r="B490" s="1" t="str">
        <x:v>SUP11</x:v>
      </x:c>
      <x:c r="C490" s="1" t="str">
        <x:v>Peru</x:v>
      </x:c>
      <x:c r="D490" s="1" t="str">
        <x:v>Ingredients</x:v>
      </x:c>
      <x:c r="E490" s="1" t="str">
        <x:v>Buyer 1</x:v>
      </x:c>
      <x:c r="F490" s="5" t="n">
        <x:v>46042</x:v>
      </x:c>
      <x:c r="G490" s="5" t="n">
        <x:v>46044</x:v>
      </x:c>
      <x:c r="H490" s="5" t="n">
        <x:v>46046</x:v>
      </x:c>
      <x:c r="I490" s="5" t="n">
        <x:v>46071</x:v>
      </x:c>
      <x:c r="J490" s="1" t="n">
        <x:v>797</x:v>
      </x:c>
      <x:c r="K490" s="6" t="n">
        <x:v>14.34</x:v>
      </x:c>
      <x:c r="L490" s="10" t="n">
        <x:f>J490*K490</x:f>
        <x:v>11428.98</x:v>
      </x:c>
      <x:c r="M490" t="n">
        <x:f>G490-F490</x:f>
        <x:v>2</x:v>
      </x:c>
      <x:c r="N490" t="n">
        <x:f>H490-F490</x:f>
        <x:v>4</x:v>
      </x:c>
    </x:row>
    <x:row r="491">
      <x:c r="A491" s="1" t="str">
        <x:v>PO0490</x:v>
      </x:c>
      <x:c r="B491" s="1" t="str">
        <x:v>SUP14</x:v>
      </x:c>
      <x:c r="C491" s="1" t="str">
        <x:v>Chile</x:v>
      </x:c>
      <x:c r="D491" s="1" t="str">
        <x:v>Ingredients</x:v>
      </x:c>
      <x:c r="E491" s="1" t="str">
        <x:v>Buyer 2</x:v>
      </x:c>
      <x:c r="F491" s="5" t="n">
        <x:v>46116</x:v>
      </x:c>
      <x:c r="G491" s="5" t="n">
        <x:v>46120</x:v>
      </x:c>
      <x:c r="H491" s="5" t="n">
        <x:v>46120</x:v>
      </x:c>
      <x:c r="I491" s="5" t="n">
        <x:v>46129</x:v>
      </x:c>
      <x:c r="J491" s="1" t="n">
        <x:v>4942</x:v>
      </x:c>
      <x:c r="K491" s="6" t="n">
        <x:v>4.46</x:v>
      </x:c>
      <x:c r="L491" s="10" t="n">
        <x:f>J491*K491</x:f>
        <x:v>22041.32</x:v>
      </x:c>
      <x:c r="M491" t="n">
        <x:f>G491-F491</x:f>
        <x:v>4</x:v>
      </x:c>
      <x:c r="N491" t="n">
        <x:f>H491-F491</x:f>
        <x:v>4</x:v>
      </x:c>
    </x:row>
    <x:row r="492">
      <x:c r="A492" s="1" t="str">
        <x:v>PO0491</x:v>
      </x:c>
      <x:c r="B492" s="1" t="str">
        <x:v>SUP01</x:v>
      </x:c>
      <x:c r="C492" s="1" t="str">
        <x:v>Panama</x:v>
      </x:c>
      <x:c r="D492" s="1" t="str">
        <x:v>Packaging</x:v>
      </x:c>
      <x:c r="E492" s="1" t="str">
        <x:v>Buyer 3</x:v>
      </x:c>
      <x:c r="F492" s="5" t="n">
        <x:v>46127</x:v>
      </x:c>
      <x:c r="G492" s="5" t="n">
        <x:v>46130</x:v>
      </x:c>
      <x:c r="H492" s="5" t="n">
        <x:v>46132</x:v>
      </x:c>
      <x:c r="I492" s="5" t="n">
        <x:v>46153</x:v>
      </x:c>
      <x:c r="J492" s="1" t="n">
        <x:v>297</x:v>
      </x:c>
      <x:c r="K492" s="6" t="n">
        <x:v>14.64</x:v>
      </x:c>
      <x:c r="L492" s="10" t="n">
        <x:f>J492*K492</x:f>
        <x:v>4348.08</x:v>
      </x:c>
      <x:c r="M492" t="n">
        <x:f>G492-F492</x:f>
        <x:v>3</x:v>
      </x:c>
      <x:c r="N492" t="n">
        <x:f>H492-F492</x:f>
        <x:v>5</x:v>
      </x:c>
    </x:row>
    <x:row r="493">
      <x:c r="A493" s="1" t="str">
        <x:v>PO0492</x:v>
      </x:c>
      <x:c r="B493" s="1" t="str">
        <x:v>SUP14</x:v>
      </x:c>
      <x:c r="C493" s="1" t="str">
        <x:v>Mexico</x:v>
      </x:c>
      <x:c r="D493" s="1" t="str">
        <x:v>Ingredients</x:v>
      </x:c>
      <x:c r="E493" s="1" t="str">
        <x:v>Buyer 4</x:v>
      </x:c>
      <x:c r="F493" s="5" t="n">
        <x:v>46124</x:v>
      </x:c>
      <x:c r="G493" s="5" t="n">
        <x:v>46125</x:v>
      </x:c>
      <x:c r="H493" s="5" t="n">
        <x:v>46127</x:v>
      </x:c>
      <x:c r="I493" s="5" t="n">
        <x:v>46147</x:v>
      </x:c>
      <x:c r="J493" s="1" t="n">
        <x:v>2872</x:v>
      </x:c>
      <x:c r="K493" s="6" t="n">
        <x:v>16.29</x:v>
      </x:c>
      <x:c r="L493" s="10" t="n">
        <x:f>J493*K493</x:f>
        <x:v>46784.88</x:v>
      </x:c>
      <x:c r="M493" t="n">
        <x:f>G493-F493</x:f>
        <x:v>1</x:v>
      </x:c>
      <x:c r="N493" t="n">
        <x:f>H493-F493</x:f>
        <x:v>3</x:v>
      </x:c>
    </x:row>
    <x:row r="494">
      <x:c r="A494" s="1" t="str">
        <x:v>PO0493</x:v>
      </x:c>
      <x:c r="B494" s="1" t="str">
        <x:v>SUP06</x:v>
      </x:c>
      <x:c r="C494" s="1" t="str">
        <x:v>Colombia</x:v>
      </x:c>
      <x:c r="D494" s="1" t="str">
        <x:v>Maintenance services</x:v>
      </x:c>
      <x:c r="E494" s="1" t="str">
        <x:v>Buyer 1</x:v>
      </x:c>
      <x:c r="F494" s="5" t="n">
        <x:v>46174</x:v>
      </x:c>
      <x:c r="G494" s="5" t="n">
        <x:v>46179</x:v>
      </x:c>
      <x:c r="H494" s="5" t="n">
        <x:v>46180</x:v>
      </x:c>
      <x:c r="I494" s="5" t="n">
        <x:v>46193</x:v>
      </x:c>
      <x:c r="J494" s="1" t="n">
        <x:v>1794</x:v>
      </x:c>
      <x:c r="K494" s="6" t="n">
        <x:v>3.12</x:v>
      </x:c>
      <x:c r="L494" s="10" t="n">
        <x:f>J494*K494</x:f>
        <x:v>5597.28</x:v>
      </x:c>
      <x:c r="M494" t="n">
        <x:f>G494-F494</x:f>
        <x:v>5</x:v>
      </x:c>
      <x:c r="N494" t="n">
        <x:f>H494-F494</x:f>
        <x:v>6</x:v>
      </x:c>
    </x:row>
    <x:row r="495">
      <x:c r="A495" s="1" t="str">
        <x:v>PO0494</x:v>
      </x:c>
      <x:c r="B495" s="1" t="str">
        <x:v>SUP14</x:v>
      </x:c>
      <x:c r="C495" s="1" t="str">
        <x:v>Costa Rica</x:v>
      </x:c>
      <x:c r="D495" s="1" t="str">
        <x:v>Ingredients</x:v>
      </x:c>
      <x:c r="E495" s="1" t="str">
        <x:v>Buyer 2</x:v>
      </x:c>
      <x:c r="F495" s="5" t="n">
        <x:v>46103</x:v>
      </x:c>
      <x:c r="G495" s="5" t="n">
        <x:v>46107</x:v>
      </x:c>
      <x:c r="H495" s="5" t="n">
        <x:v>46108</x:v>
      </x:c>
      <x:c r="I495" s="5" t="n">
        <x:v>46123</x:v>
      </x:c>
      <x:c r="J495" s="1" t="n">
        <x:v>987</x:v>
      </x:c>
      <x:c r="K495" s="6" t="n">
        <x:v>1.15</x:v>
      </x:c>
      <x:c r="L495" s="10" t="n">
        <x:f>J495*K495</x:f>
        <x:v>1135.05</x:v>
      </x:c>
      <x:c r="M495" t="n">
        <x:f>G495-F495</x:f>
        <x:v>4</x:v>
      </x:c>
      <x:c r="N495" t="n">
        <x:f>H495-F495</x:f>
        <x:v>5</x:v>
      </x:c>
    </x:row>
    <x:row r="496">
      <x:c r="A496" s="1" t="str">
        <x:v>PO0495</x:v>
      </x:c>
      <x:c r="B496" s="1" t="str">
        <x:v>SUP03</x:v>
      </x:c>
      <x:c r="C496" s="1" t="str">
        <x:v>Guatemala</x:v>
      </x:c>
      <x:c r="D496" s="1" t="str">
        <x:v>Maintenance services</x:v>
      </x:c>
      <x:c r="E496" s="1" t="str">
        <x:v>Buyer 3</x:v>
      </x:c>
      <x:c r="F496" s="5" t="n">
        <x:v>46229</x:v>
      </x:c>
      <x:c r="G496" s="5" t="n">
        <x:v>46235</x:v>
      </x:c>
      <x:c r="H496" s="5" t="n">
        <x:v>46236</x:v>
      </x:c>
      <x:c r="I496" s="5" t="n">
        <x:v>46261</x:v>
      </x:c>
      <x:c r="J496" s="1" t="n">
        <x:v>139</x:v>
      </x:c>
      <x:c r="K496" s="6" t="n">
        <x:v>15.19</x:v>
      </x:c>
      <x:c r="L496" s="10" t="n">
        <x:f>J496*K496</x:f>
        <x:v>2111.41</x:v>
      </x:c>
      <x:c r="M496" t="n">
        <x:f>G496-F496</x:f>
        <x:v>6</x:v>
      </x:c>
      <x:c r="N496" t="n">
        <x:f>H496-F496</x:f>
        <x:v>7</x:v>
      </x:c>
    </x:row>
    <x:row r="497">
      <x:c r="A497" s="1" t="str">
        <x:v>PO0496</x:v>
      </x:c>
      <x:c r="B497" s="1" t="str">
        <x:v>SUP05</x:v>
      </x:c>
      <x:c r="C497" s="1" t="str">
        <x:v>Peru</x:v>
      </x:c>
      <x:c r="D497" s="1" t="str">
        <x:v>Ingredients</x:v>
      </x:c>
      <x:c r="E497" s="1" t="str">
        <x:v>Buyer 4</x:v>
      </x:c>
      <x:c r="F497" s="5" t="n">
        <x:v>46276</x:v>
      </x:c>
      <x:c r="G497" s="5" t="n">
        <x:v>46279</x:v>
      </x:c>
      <x:c r="H497" s="5" t="n">
        <x:v>46281</x:v>
      </x:c>
      <x:c r="I497" s="5" t="n">
        <x:v>46302</x:v>
      </x:c>
      <x:c r="J497" s="1" t="n">
        <x:v>2918</x:v>
      </x:c>
      <x:c r="K497" s="6" t="n">
        <x:v>19.03</x:v>
      </x:c>
      <x:c r="L497" s="10" t="n">
        <x:f>J497*K497</x:f>
        <x:v>55529.54</x:v>
      </x:c>
      <x:c r="M497" t="n">
        <x:f>G497-F497</x:f>
        <x:v>3</x:v>
      </x:c>
      <x:c r="N497" t="n">
        <x:f>H497-F497</x:f>
        <x:v>5</x:v>
      </x:c>
    </x:row>
    <x:row r="498">
      <x:c r="A498" s="1" t="str">
        <x:v>PO0497</x:v>
      </x:c>
      <x:c r="B498" s="1" t="str">
        <x:v>SUP13</x:v>
      </x:c>
      <x:c r="C498" s="1" t="str">
        <x:v>Chile</x:v>
      </x:c>
      <x:c r="D498" s="1" t="str">
        <x:v>Packaging</x:v>
      </x:c>
      <x:c r="E498" s="1" t="str">
        <x:v>Buyer 1</x:v>
      </x:c>
      <x:c r="F498" s="5" t="n">
        <x:v>46077</x:v>
      </x:c>
      <x:c r="G498" s="5" t="n">
        <x:v>46081</x:v>
      </x:c>
      <x:c r="H498" s="5" t="n">
        <x:v>46083</x:v>
      </x:c>
      <x:c r="I498" s="5" t="n">
        <x:v>46106</x:v>
      </x:c>
      <x:c r="J498" s="1" t="n">
        <x:v>2298</x:v>
      </x:c>
      <x:c r="K498" s="6" t="n">
        <x:v>15.34</x:v>
      </x:c>
      <x:c r="L498" s="10" t="n">
        <x:f>J498*K498</x:f>
        <x:v>35251.32</x:v>
      </x:c>
      <x:c r="M498" t="n">
        <x:f>G498-F498</x:f>
        <x:v>4</x:v>
      </x:c>
      <x:c r="N498" t="n">
        <x:f>H498-F498</x:f>
        <x:v>6</x:v>
      </x:c>
    </x:row>
    <x:row r="499">
      <x:c r="A499" s="1" t="str">
        <x:v>PO0498</x:v>
      </x:c>
      <x:c r="B499" s="1" t="str">
        <x:v>SUP07</x:v>
      </x:c>
      <x:c r="C499" s="1" t="str">
        <x:v>Panama</x:v>
      </x:c>
      <x:c r="D499" s="1" t="str">
        <x:v>Packaging</x:v>
      </x:c>
      <x:c r="E499" s="1" t="str">
        <x:v>Buyer 2</x:v>
      </x:c>
      <x:c r="F499" s="5" t="n">
        <x:v>46246</x:v>
      </x:c>
      <x:c r="G499" s="5" t="n">
        <x:v>46249</x:v>
      </x:c>
      <x:c r="H499" s="5" t="n">
        <x:v>46251</x:v>
      </x:c>
      <x:c r="I499" s="5" t="n">
        <x:v>46265</x:v>
      </x:c>
      <x:c r="J499" s="1" t="n">
        <x:v>4377</x:v>
      </x:c>
      <x:c r="K499" s="6" t="n">
        <x:v>4.83</x:v>
      </x:c>
      <x:c r="L499" s="10" t="n">
        <x:f>J499*K499</x:f>
        <x:v>21140.91</x:v>
      </x:c>
      <x:c r="M499" t="n">
        <x:f>G499-F499</x:f>
        <x:v>3</x:v>
      </x:c>
      <x:c r="N499" t="n">
        <x:f>H499-F499</x:f>
        <x:v>5</x:v>
      </x:c>
    </x:row>
    <x:row r="500">
      <x:c r="A500" s="1" t="str">
        <x:v>PO0499</x:v>
      </x:c>
      <x:c r="B500" s="1" t="str">
        <x:v>SUP03</x:v>
      </x:c>
      <x:c r="C500" s="1" t="str">
        <x:v>Mexico</x:v>
      </x:c>
      <x:c r="D500" s="1" t="str">
        <x:v>Maintenance services</x:v>
      </x:c>
      <x:c r="E500" s="1" t="str">
        <x:v>Buyer 3</x:v>
      </x:c>
      <x:c r="F500" s="5" t="n">
        <x:v>46130</x:v>
      </x:c>
      <x:c r="G500" s="5" t="n">
        <x:v>46139</x:v>
      </x:c>
      <x:c r="H500" s="5" t="n">
        <x:v>46141</x:v>
      </x:c>
      <x:c r="I500" s="5" t="n">
        <x:v>46148</x:v>
      </x:c>
      <x:c r="J500" s="1" t="n">
        <x:v>3979</x:v>
      </x:c>
      <x:c r="K500" s="6" t="n">
        <x:v>7.51</x:v>
      </x:c>
      <x:c r="L500" s="10" t="n">
        <x:f>J500*K500</x:f>
        <x:v>29882.29</x:v>
      </x:c>
      <x:c r="M500" t="n">
        <x:f>G500-F500</x:f>
        <x:v>9</x:v>
      </x:c>
      <x:c r="N500" t="n">
        <x:f>H500-F500</x:f>
        <x:v>11</x:v>
      </x:c>
    </x:row>
    <x:row r="501">
      <x:c r="A501" s="1" t="str">
        <x:v>PO0500</x:v>
      </x:c>
      <x:c r="B501" s="1" t="str">
        <x:v>SUP06</x:v>
      </x:c>
      <x:c r="C501" s="1" t="str">
        <x:v>Colombia</x:v>
      </x:c>
      <x:c r="D501" s="1" t="str">
        <x:v>Maintenance services</x:v>
      </x:c>
      <x:c r="E501" s="1" t="str">
        <x:v>Buyer 4</x:v>
      </x:c>
      <x:c r="F501" s="5" t="n">
        <x:v>46054</x:v>
      </x:c>
      <x:c r="G501" s="5" t="n">
        <x:v>46057</x:v>
      </x:c>
      <x:c r="H501" s="5" t="n">
        <x:v>46057</x:v>
      </x:c>
      <x:c r="I501" s="5" t="n">
        <x:v>46075</x:v>
      </x:c>
      <x:c r="J501" s="1" t="n">
        <x:v>3508</x:v>
      </x:c>
      <x:c r="K501" s="6" t="n">
        <x:v>20.65</x:v>
      </x:c>
      <x:c r="L501" s="10" t="n">
        <x:f>J501*K501</x:f>
        <x:v>72440.2</x:v>
      </x:c>
      <x:c r="M501" t="n">
        <x:f>G501-F501</x:f>
        <x:v>3</x:v>
      </x:c>
      <x:c r="N501" t="n">
        <x:f>H501-F501</x:f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cced1e59f76442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4" t="str">
        <x:v>Supplier_ID</x:v>
      </x:c>
      <x:c r="B1" s="4" t="str">
        <x:v>SupplierName</x:v>
      </x:c>
      <x:c r="C1" s="4" t="str">
        <x:v>SupplierCountry</x:v>
      </x:c>
      <x:c r="D1" s="4" t="str">
        <x:v>Category</x:v>
      </x:c>
      <x:c r="E1" s="4" t="str">
        <x:v>PaymentTermsDays</x:v>
      </x:c>
    </x:row>
    <x:row r="2">
      <x:c r="A2" s="1" t="str">
        <x:v>SUP01</x:v>
      </x:c>
      <x:c r="B2" s="1" t="str">
        <x:v>Demo Supplier 1</x:v>
      </x:c>
      <x:c r="C2" s="1" t="str">
        <x:v>Panama</x:v>
      </x:c>
      <x:c r="D2" s="1" t="str">
        <x:v>Packaging</x:v>
      </x:c>
      <x:c r="E2" s="1" t="n">
        <x:v>30</x:v>
      </x:c>
    </x:row>
    <x:row r="3">
      <x:c r="A3" s="1" t="str">
        <x:v>SUP02</x:v>
      </x:c>
      <x:c r="B3" s="1" t="str">
        <x:v>Demo Supplier 2</x:v>
      </x:c>
      <x:c r="C3" s="1" t="str">
        <x:v>Mexico</x:v>
      </x:c>
      <x:c r="D3" s="1" t="str">
        <x:v>Ingredients</x:v>
      </x:c>
      <x:c r="E3" s="1" t="n">
        <x:v>45</x:v>
      </x:c>
    </x:row>
    <x:row r="4">
      <x:c r="A4" s="1" t="str">
        <x:v>SUP03</x:v>
      </x:c>
      <x:c r="B4" s="1" t="str">
        <x:v>Demo Supplier 3</x:v>
      </x:c>
      <x:c r="C4" s="1" t="str">
        <x:v>Colombia</x:v>
      </x:c>
      <x:c r="D4" s="1" t="str">
        <x:v>Maintenance services</x:v>
      </x:c>
      <x:c r="E4" s="1" t="n">
        <x:v>60</x:v>
      </x:c>
    </x:row>
    <x:row r="5">
      <x:c r="A5" s="1" t="str">
        <x:v>SUP04</x:v>
      </x:c>
      <x:c r="B5" s="1" t="str">
        <x:v>Demo Supplier 4</x:v>
      </x:c>
      <x:c r="C5" s="1" t="str">
        <x:v>Costa Rica</x:v>
      </x:c>
      <x:c r="D5" s="1" t="str">
        <x:v>Packaging</x:v>
      </x:c>
      <x:c r="E5" s="1" t="n">
        <x:v>30</x:v>
      </x:c>
    </x:row>
    <x:row r="6">
      <x:c r="A6" s="1" t="str">
        <x:v>SUP05</x:v>
      </x:c>
      <x:c r="B6" s="1" t="str">
        <x:v>Demo Supplier 5</x:v>
      </x:c>
      <x:c r="C6" s="1" t="str">
        <x:v>Guatemala</x:v>
      </x:c>
      <x:c r="D6" s="1" t="str">
        <x:v>Ingredients</x:v>
      </x:c>
      <x:c r="E6" s="1" t="n">
        <x:v>45</x:v>
      </x:c>
    </x:row>
    <x:row r="7">
      <x:c r="A7" s="1" t="str">
        <x:v>SUP06</x:v>
      </x:c>
      <x:c r="B7" s="1" t="str">
        <x:v>Demo Supplier 6</x:v>
      </x:c>
      <x:c r="C7" s="1" t="str">
        <x:v>Peru</x:v>
      </x:c>
      <x:c r="D7" s="1" t="str">
        <x:v>Maintenance services</x:v>
      </x:c>
      <x:c r="E7" s="1" t="n">
        <x:v>60</x:v>
      </x:c>
    </x:row>
    <x:row r="8">
      <x:c r="A8" s="1" t="str">
        <x:v>SUP07</x:v>
      </x:c>
      <x:c r="B8" s="1" t="str">
        <x:v>Demo Supplier 7</x:v>
      </x:c>
      <x:c r="C8" s="1" t="str">
        <x:v>Chile</x:v>
      </x:c>
      <x:c r="D8" s="1" t="str">
        <x:v>Packaging</x:v>
      </x:c>
      <x:c r="E8" s="1" t="n">
        <x:v>30</x:v>
      </x:c>
    </x:row>
    <x:row r="9">
      <x:c r="A9" s="1" t="str">
        <x:v>SUP08</x:v>
      </x:c>
      <x:c r="B9" s="1" t="str">
        <x:v>Demo Supplier 8</x:v>
      </x:c>
      <x:c r="C9" s="1" t="str">
        <x:v>Panama</x:v>
      </x:c>
      <x:c r="D9" s="1" t="str">
        <x:v>Ingredients</x:v>
      </x:c>
      <x:c r="E9" s="1" t="n">
        <x:v>45</x:v>
      </x:c>
    </x:row>
    <x:row r="10">
      <x:c r="A10" s="1" t="str">
        <x:v>SUP09</x:v>
      </x:c>
      <x:c r="B10" s="1" t="str">
        <x:v>Demo Supplier 9</x:v>
      </x:c>
      <x:c r="C10" s="1" t="str">
        <x:v>Mexico</x:v>
      </x:c>
      <x:c r="D10" s="1" t="str">
        <x:v>Maintenance services</x:v>
      </x:c>
      <x:c r="E10" s="1" t="n">
        <x:v>60</x:v>
      </x:c>
    </x:row>
    <x:row r="11">
      <x:c r="A11" s="1" t="str">
        <x:v>SUP10</x:v>
      </x:c>
      <x:c r="B11" s="1" t="str">
        <x:v>Demo Supplier 10</x:v>
      </x:c>
      <x:c r="C11" s="1" t="str">
        <x:v>Colombia</x:v>
      </x:c>
      <x:c r="D11" s="1" t="str">
        <x:v>Packaging</x:v>
      </x:c>
      <x:c r="E11" s="1" t="n">
        <x:v>30</x:v>
      </x:c>
    </x:row>
    <x:row r="12">
      <x:c r="A12" s="1" t="str">
        <x:v>SUP11</x:v>
      </x:c>
      <x:c r="B12" s="1" t="str">
        <x:v>Demo Supplier 11</x:v>
      </x:c>
      <x:c r="C12" s="1" t="str">
        <x:v>Costa Rica</x:v>
      </x:c>
      <x:c r="D12" s="1" t="str">
        <x:v>Ingredients</x:v>
      </x:c>
      <x:c r="E12" s="1" t="n">
        <x:v>45</x:v>
      </x:c>
    </x:row>
    <x:row r="13">
      <x:c r="A13" s="1" t="str">
        <x:v>SUP12</x:v>
      </x:c>
      <x:c r="B13" s="1" t="str">
        <x:v>Demo Supplier 12</x:v>
      </x:c>
      <x:c r="C13" s="1" t="str">
        <x:v>Guatemala</x:v>
      </x:c>
      <x:c r="D13" s="1" t="str">
        <x:v>Maintenance services</x:v>
      </x:c>
      <x:c r="E13" s="1" t="n">
        <x:v>60</x:v>
      </x:c>
    </x:row>
    <x:row r="14">
      <x:c r="A14" s="1" t="str">
        <x:v>SUP13</x:v>
      </x:c>
      <x:c r="B14" s="1" t="str">
        <x:v>Demo Supplier 13</x:v>
      </x:c>
      <x:c r="C14" s="1" t="str">
        <x:v>Peru</x:v>
      </x:c>
      <x:c r="D14" s="1" t="str">
        <x:v>Packaging</x:v>
      </x:c>
      <x:c r="E14" s="1" t="n">
        <x:v>30</x:v>
      </x:c>
    </x:row>
    <x:row r="15">
      <x:c r="A15" s="1" t="str">
        <x:v>SUP14</x:v>
      </x:c>
      <x:c r="B15" s="1" t="str">
        <x:v>Demo Supplier 14</x:v>
      </x:c>
      <x:c r="C15" s="1" t="str">
        <x:v>Chile</x:v>
      </x:c>
      <x:c r="D15" s="1" t="str">
        <x:v>Ingredients</x:v>
      </x:c>
      <x:c r="E15" s="1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c052ee86a130495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4" customHeight="1">
      <x:c r="A1" s="4" t="str">
        <x:v>Receipt_ID</x:v>
      </x:c>
      <x:c r="B1" s="4" t="str">
        <x:v>PO_ID</x:v>
      </x:c>
      <x:c r="C1" s="4" t="str">
        <x:v>ReceiptDate</x:v>
      </x:c>
      <x:c r="D1" s="4" t="str">
        <x:v>ReceivedQty</x:v>
      </x:c>
    </x:row>
    <x:row r="2">
      <x:c r="A2" s="1" t="str">
        <x:v>GR1</x:v>
      </x:c>
      <x:c r="B2" s="1" t="str">
        <x:v>PO0001</x:v>
      </x:c>
      <x:c r="C2" s="5" t="n">
        <x:v>46228</x:v>
      </x:c>
      <x:c r="D2" s="1" t="n">
        <x:v>1268</x:v>
      </x:c>
    </x:row>
    <x:row r="3">
      <x:c r="A3" s="1" t="str">
        <x:v>GR2</x:v>
      </x:c>
      <x:c r="B3" s="1" t="str">
        <x:v>PO0002</x:v>
      </x:c>
      <x:c r="C3" s="5" t="n">
        <x:v>46177</x:v>
      </x:c>
      <x:c r="D3" s="1" t="n">
        <x:v>4510</x:v>
      </x:c>
    </x:row>
    <x:row r="4">
      <x:c r="A4" s="1" t="str">
        <x:v>GR3</x:v>
      </x:c>
      <x:c r="B4" s="1" t="str">
        <x:v>PO0003</x:v>
      </x:c>
      <x:c r="C4" s="5" t="n">
        <x:v>46285</x:v>
      </x:c>
      <x:c r="D4" s="1" t="n">
        <x:v>3426</x:v>
      </x:c>
    </x:row>
    <x:row r="5">
      <x:c r="A5" s="1" t="str">
        <x:v>GR4</x:v>
      </x:c>
      <x:c r="B5" s="1" t="str">
        <x:v>PO0004</x:v>
      </x:c>
      <x:c r="C5" s="5" t="n">
        <x:v>46286</x:v>
      </x:c>
      <x:c r="D5" s="1" t="n">
        <x:v>4888</x:v>
      </x:c>
    </x:row>
    <x:row r="6">
      <x:c r="A6" s="1" t="str">
        <x:v>GR5</x:v>
      </x:c>
      <x:c r="B6" s="1" t="str">
        <x:v>PO0005</x:v>
      </x:c>
      <x:c r="C6" s="5" t="n">
        <x:v>46202</x:v>
      </x:c>
      <x:c r="D6" s="1" t="n">
        <x:v>881</x:v>
      </x:c>
    </x:row>
    <x:row r="7">
      <x:c r="A7" s="1" t="str">
        <x:v>GR6</x:v>
      </x:c>
      <x:c r="B7" s="1" t="str">
        <x:v>PO0006</x:v>
      </x:c>
      <x:c r="C7" s="5" t="n">
        <x:v>46160</x:v>
      </x:c>
      <x:c r="D7" s="1" t="n">
        <x:v>4874</x:v>
      </x:c>
    </x:row>
    <x:row r="8">
      <x:c r="A8" s="1" t="str">
        <x:v>GR7</x:v>
      </x:c>
      <x:c r="B8" s="1" t="str">
        <x:v>PO0007</x:v>
      </x:c>
      <x:c r="C8" s="5" t="n">
        <x:v>46288</x:v>
      </x:c>
      <x:c r="D8" s="1" t="n">
        <x:v>587</x:v>
      </x:c>
    </x:row>
    <x:row r="9">
      <x:c r="A9" s="1" t="str">
        <x:v>GR9</x:v>
      </x:c>
      <x:c r="B9" s="1" t="str">
        <x:v>PO0009</x:v>
      </x:c>
      <x:c r="C9" s="5" t="n">
        <x:v>46144</x:v>
      </x:c>
      <x:c r="D9" s="1" t="n">
        <x:v>4414</x:v>
      </x:c>
    </x:row>
    <x:row r="10">
      <x:c r="A10" s="1" t="str">
        <x:v>GR10</x:v>
      </x:c>
      <x:c r="B10" s="1" t="str">
        <x:v>PO0010</x:v>
      </x:c>
      <x:c r="C10" s="5" t="n">
        <x:v>46070</x:v>
      </x:c>
      <x:c r="D10" s="1" t="n">
        <x:v>3016</x:v>
      </x:c>
    </x:row>
    <x:row r="11">
      <x:c r="A11" s="1" t="str">
        <x:v>GR11</x:v>
      </x:c>
      <x:c r="B11" s="1" t="str">
        <x:v>PO0011</x:v>
      </x:c>
      <x:c r="C11" s="5" t="n">
        <x:v>46138</x:v>
      </x:c>
      <x:c r="D11" s="1" t="n">
        <x:v>2568</x:v>
      </x:c>
    </x:row>
    <x:row r="12">
      <x:c r="A12" s="1" t="str">
        <x:v>GR12</x:v>
      </x:c>
      <x:c r="B12" s="1" t="str">
        <x:v>PO0012</x:v>
      </x:c>
      <x:c r="C12" s="5" t="n">
        <x:v>46279</x:v>
      </x:c>
      <x:c r="D12" s="1" t="n">
        <x:v>4662</x:v>
      </x:c>
    </x:row>
    <x:row r="13">
      <x:c r="A13" s="1" t="str">
        <x:v>GR13</x:v>
      </x:c>
      <x:c r="B13" s="1" t="str">
        <x:v>PO0013</x:v>
      </x:c>
      <x:c r="C13" s="5" t="n">
        <x:v>46074</x:v>
      </x:c>
      <x:c r="D13" s="1" t="n">
        <x:v>4141</x:v>
      </x:c>
    </x:row>
    <x:row r="14">
      <x:c r="A14" s="1" t="str">
        <x:v>GR14</x:v>
      </x:c>
      <x:c r="B14" s="1" t="str">
        <x:v>PO0014</x:v>
      </x:c>
      <x:c r="C14" s="5" t="n">
        <x:v>46218</x:v>
      </x:c>
      <x:c r="D14" s="1" t="n">
        <x:v>3227</x:v>
      </x:c>
    </x:row>
    <x:row r="15">
      <x:c r="A15" s="1" t="str">
        <x:v>GR15</x:v>
      </x:c>
      <x:c r="B15" s="1" t="str">
        <x:v>PO0015</x:v>
      </x:c>
      <x:c r="C15" s="5" t="n">
        <x:v>46260</x:v>
      </x:c>
      <x:c r="D15" s="1" t="n">
        <x:v>2665</x:v>
      </x:c>
    </x:row>
    <x:row r="16">
      <x:c r="A16" s="1" t="str">
        <x:v>GR16</x:v>
      </x:c>
      <x:c r="B16" s="1" t="str">
        <x:v>PO0016</x:v>
      </x:c>
      <x:c r="C16" s="5" t="n">
        <x:v>46173</x:v>
      </x:c>
      <x:c r="D16" s="1" t="n">
        <x:v>4986</x:v>
      </x:c>
    </x:row>
    <x:row r="17">
      <x:c r="A17" s="1" t="str">
        <x:v>GR17</x:v>
      </x:c>
      <x:c r="B17" s="1" t="str">
        <x:v>PO0017</x:v>
      </x:c>
      <x:c r="C17" s="5" t="n">
        <x:v>46263</x:v>
      </x:c>
      <x:c r="D17" s="1" t="n">
        <x:v>3419</x:v>
      </x:c>
    </x:row>
    <x:row r="18">
      <x:c r="A18" s="1" t="str">
        <x:v>GR18</x:v>
      </x:c>
      <x:c r="B18" s="1" t="str">
        <x:v>PO0018</x:v>
      </x:c>
      <x:c r="C18" s="5" t="n">
        <x:v>46276</x:v>
      </x:c>
      <x:c r="D18" s="1" t="n">
        <x:v>3845</x:v>
      </x:c>
    </x:row>
    <x:row r="19">
      <x:c r="A19" s="1" t="str">
        <x:v>GR19</x:v>
      </x:c>
      <x:c r="B19" s="1" t="str">
        <x:v>PO0019</x:v>
      </x:c>
      <x:c r="C19" s="5" t="n">
        <x:v>46107</x:v>
      </x:c>
      <x:c r="D19" s="1" t="n">
        <x:v>4726</x:v>
      </x:c>
    </x:row>
    <x:row r="20">
      <x:c r="A20" s="1" t="str">
        <x:v>GR21</x:v>
      </x:c>
      <x:c r="B20" s="1" t="str">
        <x:v>PO0021</x:v>
      </x:c>
      <x:c r="C20" s="5" t="n">
        <x:v>46228</x:v>
      </x:c>
      <x:c r="D20" s="1" t="n">
        <x:v>4112</x:v>
      </x:c>
    </x:row>
    <x:row r="21">
      <x:c r="A21" s="1" t="str">
        <x:v>GR22</x:v>
      </x:c>
      <x:c r="B21" s="1" t="str">
        <x:v>PO0022</x:v>
      </x:c>
      <x:c r="C21" s="5" t="n">
        <x:v>46179</x:v>
      </x:c>
      <x:c r="D21" s="1" t="n">
        <x:v>4539</x:v>
      </x:c>
    </x:row>
    <x:row r="22">
      <x:c r="A22" s="1" t="str">
        <x:v>GR23</x:v>
      </x:c>
      <x:c r="B22" s="1" t="str">
        <x:v>PO0023</x:v>
      </x:c>
      <x:c r="C22" s="5" t="n">
        <x:v>46055</x:v>
      </x:c>
      <x:c r="D22" s="1" t="n">
        <x:v>2161</x:v>
      </x:c>
    </x:row>
    <x:row r="23">
      <x:c r="A23" s="1" t="str">
        <x:v>GR24</x:v>
      </x:c>
      <x:c r="B23" s="1" t="str">
        <x:v>PO0024</x:v>
      </x:c>
      <x:c r="C23" s="5" t="n">
        <x:v>46149</x:v>
      </x:c>
      <x:c r="D23" s="1" t="n">
        <x:v>1300</x:v>
      </x:c>
    </x:row>
    <x:row r="24">
      <x:c r="A24" s="1" t="str">
        <x:v>GR25</x:v>
      </x:c>
      <x:c r="B24" s="1" t="str">
        <x:v>PO0025</x:v>
      </x:c>
      <x:c r="C24" s="5" t="n">
        <x:v>46262</x:v>
      </x:c>
      <x:c r="D24" s="1" t="n">
        <x:v>4872</x:v>
      </x:c>
    </x:row>
    <x:row r="25">
      <x:c r="A25" s="1" t="str">
        <x:v>GR26</x:v>
      </x:c>
      <x:c r="B25" s="1" t="str">
        <x:v>PO0026</x:v>
      </x:c>
      <x:c r="C25" s="5" t="n">
        <x:v>46178</x:v>
      </x:c>
      <x:c r="D25" s="1" t="n">
        <x:v>519</x:v>
      </x:c>
    </x:row>
    <x:row r="26">
      <x:c r="A26" s="1" t="str">
        <x:v>GR27</x:v>
      </x:c>
      <x:c r="B26" s="1" t="str">
        <x:v>PO0027</x:v>
      </x:c>
      <x:c r="C26" s="5" t="n">
        <x:v>46142</x:v>
      </x:c>
      <x:c r="D26" s="1" t="n">
        <x:v>4556</x:v>
      </x:c>
    </x:row>
    <x:row r="27">
      <x:c r="A27" s="1" t="str">
        <x:v>GR28</x:v>
      </x:c>
      <x:c r="B27" s="1" t="str">
        <x:v>PO0028</x:v>
      </x:c>
      <x:c r="C27" s="5" t="n">
        <x:v>46196</x:v>
      </x:c>
      <x:c r="D27" s="1" t="n">
        <x:v>3680</x:v>
      </x:c>
    </x:row>
    <x:row r="28">
      <x:c r="A28" s="1" t="str">
        <x:v>GR29</x:v>
      </x:c>
      <x:c r="B28" s="1" t="str">
        <x:v>PO0029</x:v>
      </x:c>
      <x:c r="C28" s="5" t="n">
        <x:v>46171</x:v>
      </x:c>
      <x:c r="D28" s="1" t="n">
        <x:v>3302</x:v>
      </x:c>
    </x:row>
    <x:row r="29">
      <x:c r="A29" s="1" t="str">
        <x:v>GR30</x:v>
      </x:c>
      <x:c r="B29" s="1" t="str">
        <x:v>PO0030</x:v>
      </x:c>
      <x:c r="C29" s="5" t="n">
        <x:v>46079</x:v>
      </x:c>
      <x:c r="D29" s="1" t="n">
        <x:v>861</x:v>
      </x:c>
    </x:row>
    <x:row r="30">
      <x:c r="A30" s="1" t="str">
        <x:v>GR31</x:v>
      </x:c>
      <x:c r="B30" s="1" t="str">
        <x:v>PO0031</x:v>
      </x:c>
      <x:c r="C30" s="5" t="n">
        <x:v>46292</x:v>
      </x:c>
      <x:c r="D30" s="1" t="n">
        <x:v>1500</x:v>
      </x:c>
    </x:row>
    <x:row r="31">
      <x:c r="A31" s="1" t="str">
        <x:v>GR32</x:v>
      </x:c>
      <x:c r="B31" s="1" t="str">
        <x:v>PO0032</x:v>
      </x:c>
      <x:c r="C31" s="5" t="n">
        <x:v>46250</x:v>
      </x:c>
      <x:c r="D31" s="1" t="n">
        <x:v>1910</x:v>
      </x:c>
    </x:row>
    <x:row r="32">
      <x:c r="A32" s="1" t="str">
        <x:v>GR33</x:v>
      </x:c>
      <x:c r="B32" s="1" t="str">
        <x:v>PO0033</x:v>
      </x:c>
      <x:c r="C32" s="5" t="n">
        <x:v>46282</x:v>
      </x:c>
      <x:c r="D32" s="1" t="n">
        <x:v>3098</x:v>
      </x:c>
    </x:row>
    <x:row r="33">
      <x:c r="A33" s="1" t="str">
        <x:v>GR34</x:v>
      </x:c>
      <x:c r="B33" s="1" t="str">
        <x:v>PO0034</x:v>
      </x:c>
      <x:c r="C33" s="5" t="n">
        <x:v>46137</x:v>
      </x:c>
      <x:c r="D33" s="1" t="n">
        <x:v>4098</x:v>
      </x:c>
    </x:row>
    <x:row r="34">
      <x:c r="A34" s="1" t="str">
        <x:v>GR35</x:v>
      </x:c>
      <x:c r="B34" s="1" t="str">
        <x:v>PO0035</x:v>
      </x:c>
      <x:c r="C34" s="5" t="n">
        <x:v>46140</x:v>
      </x:c>
      <x:c r="D34" s="1" t="n">
        <x:v>532</x:v>
      </x:c>
    </x:row>
    <x:row r="35">
      <x:c r="A35" s="1" t="str">
        <x:v>GR36</x:v>
      </x:c>
      <x:c r="B35" s="1" t="str">
        <x:v>PO0036</x:v>
      </x:c>
      <x:c r="C35" s="5" t="n">
        <x:v>46250</x:v>
      </x:c>
      <x:c r="D35" s="1" t="n">
        <x:v>1860</x:v>
      </x:c>
    </x:row>
    <x:row r="36">
      <x:c r="A36" s="1" t="str">
        <x:v>GR37</x:v>
      </x:c>
      <x:c r="B36" s="1" t="str">
        <x:v>PO0037</x:v>
      </x:c>
      <x:c r="C36" s="5" t="n">
        <x:v>46134</x:v>
      </x:c>
      <x:c r="D36" s="1" t="n">
        <x:v>2804</x:v>
      </x:c>
    </x:row>
    <x:row r="37">
      <x:c r="A37" s="1" t="str">
        <x:v>GR38</x:v>
      </x:c>
      <x:c r="B37" s="1" t="str">
        <x:v>PO0038</x:v>
      </x:c>
      <x:c r="C37" s="5" t="n">
        <x:v>46213</x:v>
      </x:c>
      <x:c r="D37" s="1" t="n">
        <x:v>141</x:v>
      </x:c>
    </x:row>
    <x:row r="38">
      <x:c r="A38" s="1" t="str">
        <x:v>GR39</x:v>
      </x:c>
      <x:c r="B38" s="1" t="str">
        <x:v>PO0039</x:v>
      </x:c>
      <x:c r="C38" s="5" t="n">
        <x:v>46149</x:v>
      </x:c>
      <x:c r="D38" s="1" t="n">
        <x:v>1735</x:v>
      </x:c>
    </x:row>
    <x:row r="39">
      <x:c r="A39" s="1" t="str">
        <x:v>GR40</x:v>
      </x:c>
      <x:c r="B39" s="1" t="str">
        <x:v>PO0040</x:v>
      </x:c>
      <x:c r="C39" s="5" t="n">
        <x:v>46076</x:v>
      </x:c>
      <x:c r="D39" s="1" t="n">
        <x:v>384</x:v>
      </x:c>
    </x:row>
    <x:row r="40">
      <x:c r="A40" s="1" t="str">
        <x:v>GR41</x:v>
      </x:c>
      <x:c r="B40" s="1" t="str">
        <x:v>PO0041</x:v>
      </x:c>
      <x:c r="C40" s="5" t="n">
        <x:v>46244</x:v>
      </x:c>
      <x:c r="D40" s="1" t="n">
        <x:v>1862</x:v>
      </x:c>
    </x:row>
    <x:row r="41">
      <x:c r="A41" s="1" t="str">
        <x:v>GR42</x:v>
      </x:c>
      <x:c r="B41" s="1" t="str">
        <x:v>PO0042</x:v>
      </x:c>
      <x:c r="C41" s="5" t="n">
        <x:v>46245</x:v>
      </x:c>
      <x:c r="D41" s="1" t="n">
        <x:v>2032</x:v>
      </x:c>
    </x:row>
    <x:row r="42">
      <x:c r="A42" s="1" t="str">
        <x:v>GR43</x:v>
      </x:c>
      <x:c r="B42" s="1" t="str">
        <x:v>PO0043</x:v>
      </x:c>
      <x:c r="C42" s="5" t="n">
        <x:v>46059</x:v>
      </x:c>
      <x:c r="D42" s="1" t="n">
        <x:v>2672</x:v>
      </x:c>
    </x:row>
    <x:row r="43">
      <x:c r="A43" s="1" t="str">
        <x:v>GR44</x:v>
      </x:c>
      <x:c r="B43" s="1" t="str">
        <x:v>PO0044</x:v>
      </x:c>
      <x:c r="C43" s="5" t="n">
        <x:v>46172</x:v>
      </x:c>
      <x:c r="D43" s="1" t="n">
        <x:v>1672</x:v>
      </x:c>
    </x:row>
    <x:row r="44">
      <x:c r="A44" s="1" t="str">
        <x:v>GR45</x:v>
      </x:c>
      <x:c r="B44" s="1" t="str">
        <x:v>PO0045</x:v>
      </x:c>
      <x:c r="C44" s="5" t="n">
        <x:v>46045</x:v>
      </x:c>
      <x:c r="D44" s="1" t="n">
        <x:v>4388</x:v>
      </x:c>
    </x:row>
    <x:row r="45">
      <x:c r="A45" s="1" t="str">
        <x:v>GR46</x:v>
      </x:c>
      <x:c r="B45" s="1" t="str">
        <x:v>PO0046</x:v>
      </x:c>
      <x:c r="C45" s="5" t="n">
        <x:v>46238</x:v>
      </x:c>
      <x:c r="D45" s="1" t="n">
        <x:v>2846</x:v>
      </x:c>
    </x:row>
    <x:row r="46">
      <x:c r="A46" s="1" t="str">
        <x:v>GR47</x:v>
      </x:c>
      <x:c r="B46" s="1" t="str">
        <x:v>PO0047</x:v>
      </x:c>
      <x:c r="C46" s="5" t="n">
        <x:v>46105</x:v>
      </x:c>
      <x:c r="D46" s="1" t="n">
        <x:v>4079</x:v>
      </x:c>
    </x:row>
    <x:row r="47">
      <x:c r="A47" s="1" t="str">
        <x:v>GR48</x:v>
      </x:c>
      <x:c r="B47" s="1" t="str">
        <x:v>PO0048</x:v>
      </x:c>
      <x:c r="C47" s="5" t="n">
        <x:v>46233</x:v>
      </x:c>
      <x:c r="D47" s="1" t="n">
        <x:v>2430</x:v>
      </x:c>
    </x:row>
    <x:row r="48">
      <x:c r="A48" s="1" t="str">
        <x:v>GR49</x:v>
      </x:c>
      <x:c r="B48" s="1" t="str">
        <x:v>PO0049</x:v>
      </x:c>
      <x:c r="C48" s="5" t="n">
        <x:v>46246</x:v>
      </x:c>
      <x:c r="D48" s="1" t="n">
        <x:v>2498</x:v>
      </x:c>
    </x:row>
    <x:row r="49">
      <x:c r="A49" s="1" t="str">
        <x:v>GR50</x:v>
      </x:c>
      <x:c r="B49" s="1" t="str">
        <x:v>PO0050</x:v>
      </x:c>
      <x:c r="C49" s="5" t="n">
        <x:v>46131</x:v>
      </x:c>
      <x:c r="D49" s="1" t="n">
        <x:v>3062</x:v>
      </x:c>
    </x:row>
    <x:row r="50">
      <x:c r="A50" s="1" t="str">
        <x:v>GR51</x:v>
      </x:c>
      <x:c r="B50" s="1" t="str">
        <x:v>PO0051</x:v>
      </x:c>
      <x:c r="C50" s="5" t="n">
        <x:v>46202</x:v>
      </x:c>
      <x:c r="D50" s="1" t="n">
        <x:v>3300</x:v>
      </x:c>
    </x:row>
    <x:row r="51">
      <x:c r="A51" s="1" t="str">
        <x:v>GR52</x:v>
      </x:c>
      <x:c r="B51" s="1" t="str">
        <x:v>PO0052</x:v>
      </x:c>
      <x:c r="C51" s="5" t="n">
        <x:v>46107</x:v>
      </x:c>
      <x:c r="D51" s="1" t="n">
        <x:v>242</x:v>
      </x:c>
    </x:row>
    <x:row r="52">
      <x:c r="A52" s="1" t="str">
        <x:v>GR53</x:v>
      </x:c>
      <x:c r="B52" s="1" t="str">
        <x:v>PO0053</x:v>
      </x:c>
      <x:c r="C52" s="5" t="n">
        <x:v>46071</x:v>
      </x:c>
      <x:c r="D52" s="1" t="n">
        <x:v>4588</x:v>
      </x:c>
    </x:row>
    <x:row r="53">
      <x:c r="A53" s="1" t="str">
        <x:v>GR54</x:v>
      </x:c>
      <x:c r="B53" s="1" t="str">
        <x:v>PO0054</x:v>
      </x:c>
      <x:c r="C53" s="5" t="n">
        <x:v>46083</x:v>
      </x:c>
      <x:c r="D53" s="1" t="n">
        <x:v>4645</x:v>
      </x:c>
    </x:row>
    <x:row r="54">
      <x:c r="A54" s="1" t="str">
        <x:v>GR55</x:v>
      </x:c>
      <x:c r="B54" s="1" t="str">
        <x:v>PO0055</x:v>
      </x:c>
      <x:c r="C54" s="5" t="n">
        <x:v>46208</x:v>
      </x:c>
      <x:c r="D54" s="1" t="n">
        <x:v>1248</x:v>
      </x:c>
    </x:row>
    <x:row r="55">
      <x:c r="A55" s="1" t="str">
        <x:v>GR56</x:v>
      </x:c>
      <x:c r="B55" s="1" t="str">
        <x:v>PO0056</x:v>
      </x:c>
      <x:c r="C55" s="5" t="n">
        <x:v>46195</x:v>
      </x:c>
      <x:c r="D55" s="1" t="n">
        <x:v>4676</x:v>
      </x:c>
    </x:row>
    <x:row r="56">
      <x:c r="A56" s="1" t="str">
        <x:v>GR57</x:v>
      </x:c>
      <x:c r="B56" s="1" t="str">
        <x:v>PO0057</x:v>
      </x:c>
      <x:c r="C56" s="5" t="n">
        <x:v>46072</x:v>
      </x:c>
      <x:c r="D56" s="1" t="n">
        <x:v>4173</x:v>
      </x:c>
    </x:row>
    <x:row r="57">
      <x:c r="A57" s="1" t="str">
        <x:v>GR58</x:v>
      </x:c>
      <x:c r="B57" s="1" t="str">
        <x:v>PO0058</x:v>
      </x:c>
      <x:c r="C57" s="5" t="n">
        <x:v>46114</x:v>
      </x:c>
      <x:c r="D57" s="1" t="n">
        <x:v>1548</x:v>
      </x:c>
    </x:row>
    <x:row r="58">
      <x:c r="A58" s="1" t="str">
        <x:v>GR59</x:v>
      </x:c>
      <x:c r="B58" s="1" t="str">
        <x:v>PO0059</x:v>
      </x:c>
      <x:c r="C58" s="5" t="n">
        <x:v>46167</x:v>
      </x:c>
      <x:c r="D58" s="1" t="n">
        <x:v>3831</x:v>
      </x:c>
    </x:row>
    <x:row r="59">
      <x:c r="A59" s="1" t="str">
        <x:v>GR60</x:v>
      </x:c>
      <x:c r="B59" s="1" t="str">
        <x:v>PO0060</x:v>
      </x:c>
      <x:c r="C59" s="5" t="n">
        <x:v>46059</x:v>
      </x:c>
      <x:c r="D59" s="1" t="n">
        <x:v>3999</x:v>
      </x:c>
    </x:row>
    <x:row r="60">
      <x:c r="A60" s="1" t="str">
        <x:v>GR61</x:v>
      </x:c>
      <x:c r="B60" s="1" t="str">
        <x:v>PO0061</x:v>
      </x:c>
      <x:c r="C60" s="5" t="n">
        <x:v>46219</x:v>
      </x:c>
      <x:c r="D60" s="1" t="n">
        <x:v>1290</x:v>
      </x:c>
    </x:row>
    <x:row r="61">
      <x:c r="A61" s="1" t="str">
        <x:v>GR62</x:v>
      </x:c>
      <x:c r="B61" s="1" t="str">
        <x:v>PO0062</x:v>
      </x:c>
      <x:c r="C61" s="5" t="n">
        <x:v>46161</x:v>
      </x:c>
      <x:c r="D61" s="1" t="n">
        <x:v>394</x:v>
      </x:c>
    </x:row>
    <x:row r="62">
      <x:c r="A62" s="1" t="str">
        <x:v>GR63</x:v>
      </x:c>
      <x:c r="B62" s="1" t="str">
        <x:v>PO0063</x:v>
      </x:c>
      <x:c r="C62" s="5" t="n">
        <x:v>46233</x:v>
      </x:c>
      <x:c r="D62" s="1" t="n">
        <x:v>3086</x:v>
      </x:c>
    </x:row>
    <x:row r="63">
      <x:c r="A63" s="1" t="str">
        <x:v>GR64</x:v>
      </x:c>
      <x:c r="B63" s="1" t="str">
        <x:v>PO0064</x:v>
      </x:c>
      <x:c r="C63" s="5" t="n">
        <x:v>46275</x:v>
      </x:c>
      <x:c r="D63" s="1" t="n">
        <x:v>1222</x:v>
      </x:c>
    </x:row>
    <x:row r="64">
      <x:c r="A64" s="1" t="str">
        <x:v>GR65</x:v>
      </x:c>
      <x:c r="B64" s="1" t="str">
        <x:v>PO0065</x:v>
      </x:c>
      <x:c r="C64" s="5" t="n">
        <x:v>46065</x:v>
      </x:c>
      <x:c r="D64" s="1" t="n">
        <x:v>3642</x:v>
      </x:c>
    </x:row>
    <x:row r="65">
      <x:c r="A65" s="1" t="str">
        <x:v>GR66</x:v>
      </x:c>
      <x:c r="B65" s="1" t="str">
        <x:v>PO0066</x:v>
      </x:c>
      <x:c r="C65" s="5" t="n">
        <x:v>46060</x:v>
      </x:c>
      <x:c r="D65" s="1" t="n">
        <x:v>312</x:v>
      </x:c>
    </x:row>
    <x:row r="66">
      <x:c r="A66" s="1" t="str">
        <x:v>GR67</x:v>
      </x:c>
      <x:c r="B66" s="1" t="str">
        <x:v>PO0067</x:v>
      </x:c>
      <x:c r="C66" s="5" t="n">
        <x:v>46126</x:v>
      </x:c>
      <x:c r="D66" s="1" t="n">
        <x:v>598</x:v>
      </x:c>
    </x:row>
    <x:row r="67">
      <x:c r="A67" s="1" t="str">
        <x:v>GR68</x:v>
      </x:c>
      <x:c r="B67" s="1" t="str">
        <x:v>PO0068</x:v>
      </x:c>
      <x:c r="C67" s="5" t="n">
        <x:v>46113</x:v>
      </x:c>
      <x:c r="D67" s="1" t="n">
        <x:v>1090</x:v>
      </x:c>
    </x:row>
    <x:row r="68">
      <x:c r="A68" s="1" t="str">
        <x:v>GR69</x:v>
      </x:c>
      <x:c r="B68" s="1" t="str">
        <x:v>PO0069</x:v>
      </x:c>
      <x:c r="C68" s="5" t="n">
        <x:v>46135</x:v>
      </x:c>
      <x:c r="D68" s="1" t="n">
        <x:v>4585</x:v>
      </x:c>
    </x:row>
    <x:row r="69">
      <x:c r="A69" s="1" t="str">
        <x:v>GR70</x:v>
      </x:c>
      <x:c r="B69" s="1" t="str">
        <x:v>PO0070</x:v>
      </x:c>
      <x:c r="C69" s="5" t="n">
        <x:v>46254</x:v>
      </x:c>
      <x:c r="D69" s="1" t="n">
        <x:v>3735</x:v>
      </x:c>
    </x:row>
    <x:row r="70">
      <x:c r="A70" s="1" t="str">
        <x:v>GR71</x:v>
      </x:c>
      <x:c r="B70" s="1" t="str">
        <x:v>PO0071</x:v>
      </x:c>
      <x:c r="C70" s="5" t="n">
        <x:v>46114</x:v>
      </x:c>
      <x:c r="D70" s="1" t="n">
        <x:v>360</x:v>
      </x:c>
    </x:row>
    <x:row r="71">
      <x:c r="A71" s="1" t="str">
        <x:v>GR72</x:v>
      </x:c>
      <x:c r="B71" s="1" t="str">
        <x:v>PO0072</x:v>
      </x:c>
      <x:c r="C71" s="5" t="n">
        <x:v>46176</x:v>
      </x:c>
      <x:c r="D71" s="1" t="n">
        <x:v>4518</x:v>
      </x:c>
    </x:row>
    <x:row r="72">
      <x:c r="A72" s="1" t="str">
        <x:v>GR73</x:v>
      </x:c>
      <x:c r="B72" s="1" t="str">
        <x:v>PO0073</x:v>
      </x:c>
      <x:c r="C72" s="5" t="n">
        <x:v>46203</x:v>
      </x:c>
      <x:c r="D72" s="1" t="n">
        <x:v>2619</x:v>
      </x:c>
    </x:row>
    <x:row r="73">
      <x:c r="A73" s="1" t="str">
        <x:v>GR74</x:v>
      </x:c>
      <x:c r="B73" s="1" t="str">
        <x:v>PO0074</x:v>
      </x:c>
      <x:c r="C73" s="5" t="n">
        <x:v>46295</x:v>
      </x:c>
      <x:c r="D73" s="1" t="n">
        <x:v>4959</x:v>
      </x:c>
    </x:row>
    <x:row r="74">
      <x:c r="A74" s="1" t="str">
        <x:v>GR75</x:v>
      </x:c>
      <x:c r="B74" s="1" t="str">
        <x:v>PO0075</x:v>
      </x:c>
      <x:c r="C74" s="5" t="n">
        <x:v>46225</x:v>
      </x:c>
      <x:c r="D74" s="1" t="n">
        <x:v>2458</x:v>
      </x:c>
    </x:row>
    <x:row r="75">
      <x:c r="A75" s="1" t="str">
        <x:v>GR76</x:v>
      </x:c>
      <x:c r="B75" s="1" t="str">
        <x:v>PO0076</x:v>
      </x:c>
      <x:c r="C75" s="5" t="n">
        <x:v>46134</x:v>
      </x:c>
      <x:c r="D75" s="1" t="n">
        <x:v>3909</x:v>
      </x:c>
    </x:row>
    <x:row r="76">
      <x:c r="A76" s="1" t="str">
        <x:v>GR77</x:v>
      </x:c>
      <x:c r="B76" s="1" t="str">
        <x:v>PO0077</x:v>
      </x:c>
      <x:c r="C76" s="5" t="n">
        <x:v>46104</x:v>
      </x:c>
      <x:c r="D76" s="1" t="n">
        <x:v>2800</x:v>
      </x:c>
    </x:row>
    <x:row r="77">
      <x:c r="A77" s="1" t="str">
        <x:v>GR78</x:v>
      </x:c>
      <x:c r="B77" s="1" t="str">
        <x:v>PO0078</x:v>
      </x:c>
      <x:c r="C77" s="5" t="n">
        <x:v>46054</x:v>
      </x:c>
      <x:c r="D77" s="1" t="n">
        <x:v>1111</x:v>
      </x:c>
    </x:row>
    <x:row r="78">
      <x:c r="A78" s="1" t="str">
        <x:v>GR79</x:v>
      </x:c>
      <x:c r="B78" s="1" t="str">
        <x:v>PO0079</x:v>
      </x:c>
      <x:c r="C78" s="5" t="n">
        <x:v>46245</x:v>
      </x:c>
      <x:c r="D78" s="1" t="n">
        <x:v>2934</x:v>
      </x:c>
    </x:row>
    <x:row r="79">
      <x:c r="A79" s="1" t="str">
        <x:v>GR80</x:v>
      </x:c>
      <x:c r="B79" s="1" t="str">
        <x:v>PO0080</x:v>
      </x:c>
      <x:c r="C79" s="5" t="n">
        <x:v>46096</x:v>
      </x:c>
      <x:c r="D79" s="1" t="n">
        <x:v>3459</x:v>
      </x:c>
    </x:row>
    <x:row r="80">
      <x:c r="A80" s="1" t="str">
        <x:v>GR81</x:v>
      </x:c>
      <x:c r="B80" s="1" t="str">
        <x:v>PO0081</x:v>
      </x:c>
      <x:c r="C80" s="5" t="n">
        <x:v>46153</x:v>
      </x:c>
      <x:c r="D80" s="1" t="n">
        <x:v>2910</x:v>
      </x:c>
    </x:row>
    <x:row r="81">
      <x:c r="A81" s="1" t="str">
        <x:v>GR82</x:v>
      </x:c>
      <x:c r="B81" s="1" t="str">
        <x:v>PO0082</x:v>
      </x:c>
      <x:c r="C81" s="5" t="n">
        <x:v>46097</x:v>
      </x:c>
      <x:c r="D81" s="1" t="n">
        <x:v>1802</x:v>
      </x:c>
    </x:row>
    <x:row r="82">
      <x:c r="A82" s="1" t="str">
        <x:v>GR83</x:v>
      </x:c>
      <x:c r="B82" s="1" t="str">
        <x:v>PO0083</x:v>
      </x:c>
      <x:c r="C82" s="5" t="n">
        <x:v>46294</x:v>
      </x:c>
      <x:c r="D82" s="1" t="n">
        <x:v>3449</x:v>
      </x:c>
    </x:row>
    <x:row r="83">
      <x:c r="A83" s="1" t="str">
        <x:v>GR84</x:v>
      </x:c>
      <x:c r="B83" s="1" t="str">
        <x:v>PO0084</x:v>
      </x:c>
      <x:c r="C83" s="5" t="n">
        <x:v>46139</x:v>
      </x:c>
      <x:c r="D83" s="1" t="n">
        <x:v>2875</x:v>
      </x:c>
    </x:row>
    <x:row r="84">
      <x:c r="A84" s="1" t="str">
        <x:v>GR85</x:v>
      </x:c>
      <x:c r="B84" s="1" t="str">
        <x:v>PO0085</x:v>
      </x:c>
      <x:c r="C84" s="5" t="n">
        <x:v>46261</x:v>
      </x:c>
      <x:c r="D84" s="1" t="n">
        <x:v>3428</x:v>
      </x:c>
    </x:row>
    <x:row r="85">
      <x:c r="A85" s="1" t="str">
        <x:v>GR86</x:v>
      </x:c>
      <x:c r="B85" s="1" t="str">
        <x:v>PO0086</x:v>
      </x:c>
      <x:c r="C85" s="5" t="n">
        <x:v>46219</x:v>
      </x:c>
      <x:c r="D85" s="1" t="n">
        <x:v>2610</x:v>
      </x:c>
    </x:row>
    <x:row r="86">
      <x:c r="A86" s="1" t="str">
        <x:v>GR87</x:v>
      </x:c>
      <x:c r="B86" s="1" t="str">
        <x:v>PO0087</x:v>
      </x:c>
      <x:c r="C86" s="5" t="n">
        <x:v>46118</x:v>
      </x:c>
      <x:c r="D86" s="1" t="n">
        <x:v>999</x:v>
      </x:c>
    </x:row>
    <x:row r="87">
      <x:c r="A87" s="1" t="str">
        <x:v>GR88</x:v>
      </x:c>
      <x:c r="B87" s="1" t="str">
        <x:v>PO0088</x:v>
      </x:c>
      <x:c r="C87" s="5" t="n">
        <x:v>46141</x:v>
      </x:c>
      <x:c r="D87" s="1" t="n">
        <x:v>4615</x:v>
      </x:c>
    </x:row>
    <x:row r="88">
      <x:c r="A88" s="1" t="str">
        <x:v>GR89</x:v>
      </x:c>
      <x:c r="B88" s="1" t="str">
        <x:v>PO0089</x:v>
      </x:c>
      <x:c r="C88" s="5" t="n">
        <x:v>46245</x:v>
      </x:c>
      <x:c r="D88" s="1" t="n">
        <x:v>4679</x:v>
      </x:c>
    </x:row>
    <x:row r="89">
      <x:c r="A89" s="1" t="str">
        <x:v>GR90</x:v>
      </x:c>
      <x:c r="B89" s="1" t="str">
        <x:v>PO0090</x:v>
      </x:c>
      <x:c r="C89" s="5" t="n">
        <x:v>46181</x:v>
      </x:c>
      <x:c r="D89" s="1" t="n">
        <x:v>3674</x:v>
      </x:c>
    </x:row>
    <x:row r="90">
      <x:c r="A90" s="1" t="str">
        <x:v>GR91</x:v>
      </x:c>
      <x:c r="B90" s="1" t="str">
        <x:v>PO0091</x:v>
      </x:c>
      <x:c r="C90" s="5" t="n">
        <x:v>46263</x:v>
      </x:c>
      <x:c r="D90" s="1" t="n">
        <x:v>2411</x:v>
      </x:c>
    </x:row>
    <x:row r="91">
      <x:c r="A91" s="1" t="str">
        <x:v>GR92</x:v>
      </x:c>
      <x:c r="B91" s="1" t="str">
        <x:v>PO0092</x:v>
      </x:c>
      <x:c r="C91" s="5" t="n">
        <x:v>46093</x:v>
      </x:c>
      <x:c r="D91" s="1" t="n">
        <x:v>2565</x:v>
      </x:c>
    </x:row>
    <x:row r="92">
      <x:c r="A92" s="1" t="str">
        <x:v>GR93</x:v>
      </x:c>
      <x:c r="B92" s="1" t="str">
        <x:v>PO0093</x:v>
      </x:c>
      <x:c r="C92" s="5" t="n">
        <x:v>46065</x:v>
      </x:c>
      <x:c r="D92" s="1" t="n">
        <x:v>2281</x:v>
      </x:c>
    </x:row>
    <x:row r="93">
      <x:c r="A93" s="1" t="str">
        <x:v>GR94</x:v>
      </x:c>
      <x:c r="B93" s="1" t="str">
        <x:v>PO0094</x:v>
      </x:c>
      <x:c r="C93" s="5" t="n">
        <x:v>46130</x:v>
      </x:c>
      <x:c r="D93" s="1" t="n">
        <x:v>2245</x:v>
      </x:c>
    </x:row>
    <x:row r="94">
      <x:c r="A94" s="1" t="str">
        <x:v>GR95</x:v>
      </x:c>
      <x:c r="B94" s="1" t="str">
        <x:v>PO0095</x:v>
      </x:c>
      <x:c r="C94" s="5" t="n">
        <x:v>46127</x:v>
      </x:c>
      <x:c r="D94" s="1" t="n">
        <x:v>1284</x:v>
      </x:c>
    </x:row>
    <x:row r="95">
      <x:c r="A95" s="1" t="str">
        <x:v>GR96</x:v>
      </x:c>
      <x:c r="B95" s="1" t="str">
        <x:v>PO0096</x:v>
      </x:c>
      <x:c r="C95" s="5" t="n">
        <x:v>46074</x:v>
      </x:c>
      <x:c r="D95" s="1" t="n">
        <x:v>2876</x:v>
      </x:c>
    </x:row>
    <x:row r="96">
      <x:c r="A96" s="1" t="str">
        <x:v>GR97</x:v>
      </x:c>
      <x:c r="B96" s="1" t="str">
        <x:v>PO0097</x:v>
      </x:c>
      <x:c r="C96" s="5" t="n">
        <x:v>46274</x:v>
      </x:c>
      <x:c r="D96" s="1" t="n">
        <x:v>2889</x:v>
      </x:c>
    </x:row>
    <x:row r="97">
      <x:c r="A97" s="1" t="str">
        <x:v>GR98</x:v>
      </x:c>
      <x:c r="B97" s="1" t="str">
        <x:v>PO0098</x:v>
      </x:c>
      <x:c r="C97" s="5" t="n">
        <x:v>46119</x:v>
      </x:c>
      <x:c r="D97" s="1" t="n">
        <x:v>746</x:v>
      </x:c>
    </x:row>
    <x:row r="98">
      <x:c r="A98" s="1" t="str">
        <x:v>GR99</x:v>
      </x:c>
      <x:c r="B98" s="1" t="str">
        <x:v>PO0099</x:v>
      </x:c>
      <x:c r="C98" s="5" t="n">
        <x:v>46231</x:v>
      </x:c>
      <x:c r="D98" s="1" t="n">
        <x:v>574</x:v>
      </x:c>
    </x:row>
    <x:row r="99">
      <x:c r="A99" s="1" t="str">
        <x:v>GR100</x:v>
      </x:c>
      <x:c r="B99" s="1" t="str">
        <x:v>PO0100</x:v>
      </x:c>
      <x:c r="C99" s="5" t="n">
        <x:v>46134</x:v>
      </x:c>
      <x:c r="D99" s="1" t="n">
        <x:v>112</x:v>
      </x:c>
    </x:row>
    <x:row r="100">
      <x:c r="A100" s="1" t="str">
        <x:v>GR101</x:v>
      </x:c>
      <x:c r="B100" s="1" t="str">
        <x:v>PO0101</x:v>
      </x:c>
      <x:c r="C100" s="5" t="n">
        <x:v>46077</x:v>
      </x:c>
      <x:c r="D100" s="1" t="n">
        <x:v>2856</x:v>
      </x:c>
    </x:row>
    <x:row r="101">
      <x:c r="A101" s="1" t="str">
        <x:v>GR102</x:v>
      </x:c>
      <x:c r="B101" s="1" t="str">
        <x:v>PO0102</x:v>
      </x:c>
      <x:c r="C101" s="5" t="n">
        <x:v>46182</x:v>
      </x:c>
      <x:c r="D101" s="1" t="n">
        <x:v>706</x:v>
      </x:c>
    </x:row>
    <x:row r="102">
      <x:c r="A102" s="1" t="str">
        <x:v>GR103</x:v>
      </x:c>
      <x:c r="B102" s="1" t="str">
        <x:v>PO0103</x:v>
      </x:c>
      <x:c r="C102" s="5" t="n">
        <x:v>46082</x:v>
      </x:c>
      <x:c r="D102" s="1" t="n">
        <x:v>4117</x:v>
      </x:c>
    </x:row>
    <x:row r="103">
      <x:c r="A103" s="1" t="str">
        <x:v>GR104</x:v>
      </x:c>
      <x:c r="B103" s="1" t="str">
        <x:v>PO0104</x:v>
      </x:c>
      <x:c r="C103" s="5" t="n">
        <x:v>46205</x:v>
      </x:c>
      <x:c r="D103" s="1" t="n">
        <x:v>2038</x:v>
      </x:c>
    </x:row>
    <x:row r="104">
      <x:c r="A104" s="1" t="str">
        <x:v>GR105</x:v>
      </x:c>
      <x:c r="B104" s="1" t="str">
        <x:v>PO0105</x:v>
      </x:c>
      <x:c r="C104" s="5" t="n">
        <x:v>46262</x:v>
      </x:c>
      <x:c r="D104" s="1" t="n">
        <x:v>2873</x:v>
      </x:c>
    </x:row>
    <x:row r="105">
      <x:c r="A105" s="1" t="str">
        <x:v>GR106</x:v>
      </x:c>
      <x:c r="B105" s="1" t="str">
        <x:v>PO0106</x:v>
      </x:c>
      <x:c r="C105" s="5" t="n">
        <x:v>46283</x:v>
      </x:c>
      <x:c r="D105" s="1" t="n">
        <x:v>4752</x:v>
      </x:c>
    </x:row>
    <x:row r="106">
      <x:c r="A106" s="1" t="str">
        <x:v>GR107</x:v>
      </x:c>
      <x:c r="B106" s="1" t="str">
        <x:v>PO0107</x:v>
      </x:c>
      <x:c r="C106" s="5" t="n">
        <x:v>46105</x:v>
      </x:c>
      <x:c r="D106" s="1" t="n">
        <x:v>2834</x:v>
      </x:c>
    </x:row>
    <x:row r="107">
      <x:c r="A107" s="1" t="str">
        <x:v>GR108</x:v>
      </x:c>
      <x:c r="B107" s="1" t="str">
        <x:v>PO0108</x:v>
      </x:c>
      <x:c r="C107" s="5" t="n">
        <x:v>46113</x:v>
      </x:c>
      <x:c r="D107" s="1" t="n">
        <x:v>3890</x:v>
      </x:c>
    </x:row>
    <x:row r="108">
      <x:c r="A108" s="1" t="str">
        <x:v>GR109</x:v>
      </x:c>
      <x:c r="B108" s="1" t="str">
        <x:v>PO0109</x:v>
      </x:c>
      <x:c r="C108" s="5" t="n">
        <x:v>46266</x:v>
      </x:c>
      <x:c r="D108" s="1" t="n">
        <x:v>2347</x:v>
      </x:c>
    </x:row>
    <x:row r="109">
      <x:c r="A109" s="1" t="str">
        <x:v>GR110</x:v>
      </x:c>
      <x:c r="B109" s="1" t="str">
        <x:v>PO0110</x:v>
      </x:c>
      <x:c r="C109" s="5" t="n">
        <x:v>46259</x:v>
      </x:c>
      <x:c r="D109" s="1" t="n">
        <x:v>4956</x:v>
      </x:c>
    </x:row>
    <x:row r="110">
      <x:c r="A110" s="1" t="str">
        <x:v>GR111</x:v>
      </x:c>
      <x:c r="B110" s="1" t="str">
        <x:v>PO0111</x:v>
      </x:c>
      <x:c r="C110" s="5" t="n">
        <x:v>46245</x:v>
      </x:c>
      <x:c r="D110" s="1" t="n">
        <x:v>4667</x:v>
      </x:c>
    </x:row>
    <x:row r="111">
      <x:c r="A111" s="1" t="str">
        <x:v>GR112</x:v>
      </x:c>
      <x:c r="B111" s="1" t="str">
        <x:v>PO0112</x:v>
      </x:c>
      <x:c r="C111" s="5" t="n">
        <x:v>46077</x:v>
      </x:c>
      <x:c r="D111" s="1" t="n">
        <x:v>4729</x:v>
      </x:c>
    </x:row>
    <x:row r="112">
      <x:c r="A112" s="1" t="str">
        <x:v>GR113</x:v>
      </x:c>
      <x:c r="B112" s="1" t="str">
        <x:v>PO0113</x:v>
      </x:c>
      <x:c r="C112" s="5" t="n">
        <x:v>46172</x:v>
      </x:c>
      <x:c r="D112" s="1" t="n">
        <x:v>2523</x:v>
      </x:c>
    </x:row>
    <x:row r="113">
      <x:c r="A113" s="1" t="str">
        <x:v>GR114</x:v>
      </x:c>
      <x:c r="B113" s="1" t="str">
        <x:v>PO0114</x:v>
      </x:c>
      <x:c r="C113" s="5" t="n">
        <x:v>46115</x:v>
      </x:c>
      <x:c r="D113" s="1" t="n">
        <x:v>4410</x:v>
      </x:c>
    </x:row>
    <x:row r="114">
      <x:c r="A114" s="1" t="str">
        <x:v>GR115</x:v>
      </x:c>
      <x:c r="B114" s="1" t="str">
        <x:v>PO0115</x:v>
      </x:c>
      <x:c r="C114" s="5" t="n">
        <x:v>46171</x:v>
      </x:c>
      <x:c r="D114" s="1" t="n">
        <x:v>3391</x:v>
      </x:c>
    </x:row>
    <x:row r="115">
      <x:c r="A115" s="1" t="str">
        <x:v>GR116</x:v>
      </x:c>
      <x:c r="B115" s="1" t="str">
        <x:v>PO0116</x:v>
      </x:c>
      <x:c r="C115" s="5" t="n">
        <x:v>46287</x:v>
      </x:c>
      <x:c r="D115" s="1" t="n">
        <x:v>4687</x:v>
      </x:c>
    </x:row>
    <x:row r="116">
      <x:c r="A116" s="1" t="str">
        <x:v>GR117</x:v>
      </x:c>
      <x:c r="B116" s="1" t="str">
        <x:v>PO0117</x:v>
      </x:c>
      <x:c r="C116" s="5" t="n">
        <x:v>46134</x:v>
      </x:c>
      <x:c r="D116" s="1" t="n">
        <x:v>238</x:v>
      </x:c>
    </x:row>
    <x:row r="117">
      <x:c r="A117" s="1" t="str">
        <x:v>GR118</x:v>
      </x:c>
      <x:c r="B117" s="1" t="str">
        <x:v>PO0118</x:v>
      </x:c>
      <x:c r="C117" s="5" t="n">
        <x:v>46295</x:v>
      </x:c>
      <x:c r="D117" s="1" t="n">
        <x:v>1637</x:v>
      </x:c>
    </x:row>
    <x:row r="118">
      <x:c r="A118" s="1" t="str">
        <x:v>GR119</x:v>
      </x:c>
      <x:c r="B118" s="1" t="str">
        <x:v>PO0119</x:v>
      </x:c>
      <x:c r="C118" s="5" t="n">
        <x:v>46098</x:v>
      </x:c>
      <x:c r="D118" s="1" t="n">
        <x:v>1269</x:v>
      </x:c>
    </x:row>
    <x:row r="119">
      <x:c r="A119" s="1" t="str">
        <x:v>GR120</x:v>
      </x:c>
      <x:c r="B119" s="1" t="str">
        <x:v>PO0120</x:v>
      </x:c>
      <x:c r="C119" s="5" t="n">
        <x:v>46221</x:v>
      </x:c>
      <x:c r="D119" s="1" t="n">
        <x:v>849</x:v>
      </x:c>
    </x:row>
    <x:row r="120">
      <x:c r="A120" s="1" t="str">
        <x:v>GR121</x:v>
      </x:c>
      <x:c r="B120" s="1" t="str">
        <x:v>PO0121</x:v>
      </x:c>
      <x:c r="C120" s="5" t="n">
        <x:v>46154</x:v>
      </x:c>
      <x:c r="D120" s="1" t="n">
        <x:v>590</x:v>
      </x:c>
    </x:row>
    <x:row r="121">
      <x:c r="A121" s="1" t="str">
        <x:v>GR122</x:v>
      </x:c>
      <x:c r="B121" s="1" t="str">
        <x:v>PO0122</x:v>
      </x:c>
      <x:c r="C121" s="5" t="n">
        <x:v>46100</x:v>
      </x:c>
      <x:c r="D121" s="1" t="n">
        <x:v>3141</x:v>
      </x:c>
    </x:row>
    <x:row r="122">
      <x:c r="A122" s="1" t="str">
        <x:v>GR123</x:v>
      </x:c>
      <x:c r="B122" s="1" t="str">
        <x:v>PO0123</x:v>
      </x:c>
      <x:c r="C122" s="5" t="n">
        <x:v>46083</x:v>
      </x:c>
      <x:c r="D122" s="1" t="n">
        <x:v>3369</x:v>
      </x:c>
    </x:row>
    <x:row r="123">
      <x:c r="A123" s="1" t="str">
        <x:v>GR124</x:v>
      </x:c>
      <x:c r="B123" s="1" t="str">
        <x:v>PO0124</x:v>
      </x:c>
      <x:c r="C123" s="5" t="n">
        <x:v>46139</x:v>
      </x:c>
      <x:c r="D123" s="1" t="n">
        <x:v>4271</x:v>
      </x:c>
    </x:row>
    <x:row r="124">
      <x:c r="A124" s="1" t="str">
        <x:v>GR125</x:v>
      </x:c>
      <x:c r="B124" s="1" t="str">
        <x:v>PO0125</x:v>
      </x:c>
      <x:c r="C124" s="5" t="n">
        <x:v>46200</x:v>
      </x:c>
      <x:c r="D124" s="1" t="n">
        <x:v>4106</x:v>
      </x:c>
    </x:row>
    <x:row r="125">
      <x:c r="A125" s="1" t="str">
        <x:v>GR126</x:v>
      </x:c>
      <x:c r="B125" s="1" t="str">
        <x:v>PO0126</x:v>
      </x:c>
      <x:c r="C125" s="5" t="n">
        <x:v>46041</x:v>
      </x:c>
      <x:c r="D125" s="1" t="n">
        <x:v>548</x:v>
      </x:c>
    </x:row>
    <x:row r="126">
      <x:c r="A126" s="1" t="str">
        <x:v>GR127</x:v>
      </x:c>
      <x:c r="B126" s="1" t="str">
        <x:v>PO0127</x:v>
      </x:c>
      <x:c r="C126" s="5" t="n">
        <x:v>46073</x:v>
      </x:c>
      <x:c r="D126" s="1" t="n">
        <x:v>2864</x:v>
      </x:c>
    </x:row>
    <x:row r="127">
      <x:c r="A127" s="1" t="str">
        <x:v>GR128</x:v>
      </x:c>
      <x:c r="B127" s="1" t="str">
        <x:v>PO0128</x:v>
      </x:c>
      <x:c r="C127" s="5" t="n">
        <x:v>46084</x:v>
      </x:c>
      <x:c r="D127" s="1" t="n">
        <x:v>777</x:v>
      </x:c>
    </x:row>
    <x:row r="128">
      <x:c r="A128" s="1" t="str">
        <x:v>GR129</x:v>
      </x:c>
      <x:c r="B128" s="1" t="str">
        <x:v>PO0129</x:v>
      </x:c>
      <x:c r="C128" s="5" t="n">
        <x:v>46172</x:v>
      </x:c>
      <x:c r="D128" s="1" t="n">
        <x:v>1790</x:v>
      </x:c>
    </x:row>
    <x:row r="129">
      <x:c r="A129" s="1" t="str">
        <x:v>GR130</x:v>
      </x:c>
      <x:c r="B129" s="1" t="str">
        <x:v>PO0130</x:v>
      </x:c>
      <x:c r="C129" s="5" t="n">
        <x:v>46060</x:v>
      </x:c>
      <x:c r="D129" s="1" t="n">
        <x:v>1804</x:v>
      </x:c>
    </x:row>
    <x:row r="130">
      <x:c r="A130" s="1" t="str">
        <x:v>GR131</x:v>
      </x:c>
      <x:c r="B130" s="1" t="str">
        <x:v>PO0131</x:v>
      </x:c>
      <x:c r="C130" s="5" t="n">
        <x:v>46232</x:v>
      </x:c>
      <x:c r="D130" s="1" t="n">
        <x:v>546</x:v>
      </x:c>
    </x:row>
    <x:row r="131">
      <x:c r="A131" s="1" t="str">
        <x:v>GR132</x:v>
      </x:c>
      <x:c r="B131" s="1" t="str">
        <x:v>PO0132</x:v>
      </x:c>
      <x:c r="C131" s="5" t="n">
        <x:v>46042</x:v>
      </x:c>
      <x:c r="D131" s="1" t="n">
        <x:v>3917</x:v>
      </x:c>
    </x:row>
    <x:row r="132">
      <x:c r="A132" s="1" t="str">
        <x:v>GR133</x:v>
      </x:c>
      <x:c r="B132" s="1" t="str">
        <x:v>PO0133</x:v>
      </x:c>
      <x:c r="C132" s="5" t="n">
        <x:v>46122</x:v>
      </x:c>
      <x:c r="D132" s="1" t="n">
        <x:v>4371</x:v>
      </x:c>
    </x:row>
    <x:row r="133">
      <x:c r="A133" s="1" t="str">
        <x:v>GR134</x:v>
      </x:c>
      <x:c r="B133" s="1" t="str">
        <x:v>PO0134</x:v>
      </x:c>
      <x:c r="C133" s="5" t="n">
        <x:v>46254</x:v>
      </x:c>
      <x:c r="D133" s="1" t="n">
        <x:v>4619</x:v>
      </x:c>
    </x:row>
    <x:row r="134">
      <x:c r="A134" s="1" t="str">
        <x:v>GR135</x:v>
      </x:c>
      <x:c r="B134" s="1" t="str">
        <x:v>PO0135</x:v>
      </x:c>
      <x:c r="C134" s="5" t="n">
        <x:v>46220</x:v>
      </x:c>
      <x:c r="D134" s="1" t="n">
        <x:v>3858</x:v>
      </x:c>
    </x:row>
    <x:row r="135">
      <x:c r="A135" s="1" t="str">
        <x:v>GR136</x:v>
      </x:c>
      <x:c r="B135" s="1" t="str">
        <x:v>PO0136</x:v>
      </x:c>
      <x:c r="C135" s="5" t="n">
        <x:v>46259</x:v>
      </x:c>
      <x:c r="D135" s="1" t="n">
        <x:v>4827</x:v>
      </x:c>
    </x:row>
    <x:row r="136">
      <x:c r="A136" s="1" t="str">
        <x:v>GR137</x:v>
      </x:c>
      <x:c r="B136" s="1" t="str">
        <x:v>PO0137</x:v>
      </x:c>
      <x:c r="C136" s="5" t="n">
        <x:v>46065</x:v>
      </x:c>
      <x:c r="D136" s="1" t="n">
        <x:v>1700</x:v>
      </x:c>
    </x:row>
    <x:row r="137">
      <x:c r="A137" s="1" t="str">
        <x:v>GR138</x:v>
      </x:c>
      <x:c r="B137" s="1" t="str">
        <x:v>PO0138</x:v>
      </x:c>
      <x:c r="C137" s="5" t="n">
        <x:v>46252</x:v>
      </x:c>
      <x:c r="D137" s="1" t="n">
        <x:v>4709</x:v>
      </x:c>
    </x:row>
    <x:row r="138">
      <x:c r="A138" s="1" t="str">
        <x:v>GR139</x:v>
      </x:c>
      <x:c r="B138" s="1" t="str">
        <x:v>PO0139</x:v>
      </x:c>
      <x:c r="C138" s="5" t="n">
        <x:v>46263</x:v>
      </x:c>
      <x:c r="D138" s="1" t="n">
        <x:v>3706</x:v>
      </x:c>
    </x:row>
    <x:row r="139">
      <x:c r="A139" s="1" t="str">
        <x:v>GR140</x:v>
      </x:c>
      <x:c r="B139" s="1" t="str">
        <x:v>PO0140</x:v>
      </x:c>
      <x:c r="C139" s="5" t="n">
        <x:v>46069</x:v>
      </x:c>
      <x:c r="D139" s="1" t="n">
        <x:v>4430</x:v>
      </x:c>
    </x:row>
    <x:row r="140">
      <x:c r="A140" s="1" t="str">
        <x:v>GR141</x:v>
      </x:c>
      <x:c r="B140" s="1" t="str">
        <x:v>PO0141</x:v>
      </x:c>
      <x:c r="C140" s="5" t="n">
        <x:v>46186</x:v>
      </x:c>
      <x:c r="D140" s="1" t="n">
        <x:v>2360</x:v>
      </x:c>
    </x:row>
    <x:row r="141">
      <x:c r="A141" s="1" t="str">
        <x:v>GR142</x:v>
      </x:c>
      <x:c r="B141" s="1" t="str">
        <x:v>PO0142</x:v>
      </x:c>
      <x:c r="C141" s="5" t="n">
        <x:v>46170</x:v>
      </x:c>
      <x:c r="D141" s="1" t="n">
        <x:v>204</x:v>
      </x:c>
    </x:row>
    <x:row r="142">
      <x:c r="A142" s="1" t="str">
        <x:v>GR143</x:v>
      </x:c>
      <x:c r="B142" s="1" t="str">
        <x:v>PO0143</x:v>
      </x:c>
      <x:c r="C142" s="5" t="n">
        <x:v>46048</x:v>
      </x:c>
      <x:c r="D142" s="1" t="n">
        <x:v>2930</x:v>
      </x:c>
    </x:row>
    <x:row r="143">
      <x:c r="A143" s="1" t="str">
        <x:v>GR144</x:v>
      </x:c>
      <x:c r="B143" s="1" t="str">
        <x:v>PO0144</x:v>
      </x:c>
      <x:c r="C143" s="5" t="n">
        <x:v>46222</x:v>
      </x:c>
      <x:c r="D143" s="1" t="n">
        <x:v>2648</x:v>
      </x:c>
    </x:row>
    <x:row r="144">
      <x:c r="A144" s="1" t="str">
        <x:v>GR145</x:v>
      </x:c>
      <x:c r="B144" s="1" t="str">
        <x:v>PO0145</x:v>
      </x:c>
      <x:c r="C144" s="5" t="n">
        <x:v>46182</x:v>
      </x:c>
      <x:c r="D144" s="1" t="n">
        <x:v>2358</x:v>
      </x:c>
    </x:row>
    <x:row r="145">
      <x:c r="A145" s="1" t="str">
        <x:v>GR146</x:v>
      </x:c>
      <x:c r="B145" s="1" t="str">
        <x:v>PO0146</x:v>
      </x:c>
      <x:c r="C145" s="5" t="n">
        <x:v>46060</x:v>
      </x:c>
      <x:c r="D145" s="1" t="n">
        <x:v>2887</x:v>
      </x:c>
    </x:row>
    <x:row r="146">
      <x:c r="A146" s="1" t="str">
        <x:v>GR147</x:v>
      </x:c>
      <x:c r="B146" s="1" t="str">
        <x:v>PO0147</x:v>
      </x:c>
      <x:c r="C146" s="5" t="n">
        <x:v>46122</x:v>
      </x:c>
      <x:c r="D146" s="1" t="n">
        <x:v>2032</x:v>
      </x:c>
    </x:row>
    <x:row r="147">
      <x:c r="A147" s="1" t="str">
        <x:v>GR148</x:v>
      </x:c>
      <x:c r="B147" s="1" t="str">
        <x:v>PO0148</x:v>
      </x:c>
      <x:c r="C147" s="5" t="n">
        <x:v>46148</x:v>
      </x:c>
      <x:c r="D147" s="1" t="n">
        <x:v>1089</x:v>
      </x:c>
    </x:row>
    <x:row r="148">
      <x:c r="A148" s="1" t="str">
        <x:v>GR149</x:v>
      </x:c>
      <x:c r="B148" s="1" t="str">
        <x:v>PO0149</x:v>
      </x:c>
      <x:c r="C148" s="5" t="n">
        <x:v>46107</x:v>
      </x:c>
      <x:c r="D148" s="1" t="n">
        <x:v>3887</x:v>
      </x:c>
    </x:row>
    <x:row r="149">
      <x:c r="A149" s="1" t="str">
        <x:v>GR150</x:v>
      </x:c>
      <x:c r="B149" s="1" t="str">
        <x:v>PO0150</x:v>
      </x:c>
      <x:c r="C149" s="5" t="n">
        <x:v>46281</x:v>
      </x:c>
      <x:c r="D149" s="1" t="n">
        <x:v>2496</x:v>
      </x:c>
    </x:row>
    <x:row r="150">
      <x:c r="A150" s="1" t="str">
        <x:v>GR151</x:v>
      </x:c>
      <x:c r="B150" s="1" t="str">
        <x:v>PO0151</x:v>
      </x:c>
      <x:c r="C150" s="5" t="n">
        <x:v>46183</x:v>
      </x:c>
      <x:c r="D150" s="1" t="n">
        <x:v>3891</x:v>
      </x:c>
    </x:row>
    <x:row r="151">
      <x:c r="A151" s="1" t="str">
        <x:v>GR152</x:v>
      </x:c>
      <x:c r="B151" s="1" t="str">
        <x:v>PO0152</x:v>
      </x:c>
      <x:c r="C151" s="5" t="n">
        <x:v>46251</x:v>
      </x:c>
      <x:c r="D151" s="1" t="n">
        <x:v>3453</x:v>
      </x:c>
    </x:row>
    <x:row r="152">
      <x:c r="A152" s="1" t="str">
        <x:v>GR153</x:v>
      </x:c>
      <x:c r="B152" s="1" t="str">
        <x:v>PO0153</x:v>
      </x:c>
      <x:c r="C152" s="5" t="n">
        <x:v>46088</x:v>
      </x:c>
      <x:c r="D152" s="1" t="n">
        <x:v>3284</x:v>
      </x:c>
    </x:row>
    <x:row r="153">
      <x:c r="A153" s="1" t="str">
        <x:v>GR154</x:v>
      </x:c>
      <x:c r="B153" s="1" t="str">
        <x:v>PO0154</x:v>
      </x:c>
      <x:c r="C153" s="5" t="n">
        <x:v>46073</x:v>
      </x:c>
      <x:c r="D153" s="1" t="n">
        <x:v>4734</x:v>
      </x:c>
    </x:row>
    <x:row r="154">
      <x:c r="A154" s="1" t="str">
        <x:v>GR155</x:v>
      </x:c>
      <x:c r="B154" s="1" t="str">
        <x:v>PO0155</x:v>
      </x:c>
      <x:c r="C154" s="5" t="n">
        <x:v>46053</x:v>
      </x:c>
      <x:c r="D154" s="1" t="n">
        <x:v>3086</x:v>
      </x:c>
    </x:row>
    <x:row r="155">
      <x:c r="A155" s="1" t="str">
        <x:v>GR156</x:v>
      </x:c>
      <x:c r="B155" s="1" t="str">
        <x:v>PO0156</x:v>
      </x:c>
      <x:c r="C155" s="5" t="n">
        <x:v>46221</x:v>
      </x:c>
      <x:c r="D155" s="1" t="n">
        <x:v>1137</x:v>
      </x:c>
    </x:row>
    <x:row r="156">
      <x:c r="A156" s="1" t="str">
        <x:v>GR157</x:v>
      </x:c>
      <x:c r="B156" s="1" t="str">
        <x:v>PO0157</x:v>
      </x:c>
      <x:c r="C156" s="5" t="n">
        <x:v>46054</x:v>
      </x:c>
      <x:c r="D156" s="1" t="n">
        <x:v>4448</x:v>
      </x:c>
    </x:row>
    <x:row r="157">
      <x:c r="A157" s="1" t="str">
        <x:v>GR158</x:v>
      </x:c>
      <x:c r="B157" s="1" t="str">
        <x:v>PO0158</x:v>
      </x:c>
      <x:c r="C157" s="5" t="n">
        <x:v>46190</x:v>
      </x:c>
      <x:c r="D157" s="1" t="n">
        <x:v>2346</x:v>
      </x:c>
    </x:row>
    <x:row r="158">
      <x:c r="A158" s="1" t="str">
        <x:v>GR159</x:v>
      </x:c>
      <x:c r="B158" s="1" t="str">
        <x:v>PO0159</x:v>
      </x:c>
      <x:c r="C158" s="5" t="n">
        <x:v>46229</x:v>
      </x:c>
      <x:c r="D158" s="1" t="n">
        <x:v>4364</x:v>
      </x:c>
    </x:row>
    <x:row r="159">
      <x:c r="A159" s="1" t="str">
        <x:v>GR160</x:v>
      </x:c>
      <x:c r="B159" s="1" t="str">
        <x:v>PO0160</x:v>
      </x:c>
      <x:c r="C159" s="5" t="n">
        <x:v>46269</x:v>
      </x:c>
      <x:c r="D159" s="1" t="n">
        <x:v>374</x:v>
      </x:c>
    </x:row>
    <x:row r="160">
      <x:c r="A160" s="1" t="str">
        <x:v>GR161</x:v>
      </x:c>
      <x:c r="B160" s="1" t="str">
        <x:v>PO0161</x:v>
      </x:c>
      <x:c r="C160" s="5" t="n">
        <x:v>46135</x:v>
      </x:c>
      <x:c r="D160" s="1" t="n">
        <x:v>4114</x:v>
      </x:c>
    </x:row>
    <x:row r="161">
      <x:c r="A161" s="1" t="str">
        <x:v>GR162</x:v>
      </x:c>
      <x:c r="B161" s="1" t="str">
        <x:v>PO0162</x:v>
      </x:c>
      <x:c r="C161" s="5" t="n">
        <x:v>46108</x:v>
      </x:c>
      <x:c r="D161" s="1" t="n">
        <x:v>2858</x:v>
      </x:c>
    </x:row>
    <x:row r="162">
      <x:c r="A162" s="1" t="str">
        <x:v>GR163</x:v>
      </x:c>
      <x:c r="B162" s="1" t="str">
        <x:v>PO0163</x:v>
      </x:c>
      <x:c r="C162" s="5" t="n">
        <x:v>46220</x:v>
      </x:c>
      <x:c r="D162" s="1" t="n">
        <x:v>872</x:v>
      </x:c>
    </x:row>
    <x:row r="163">
      <x:c r="A163" s="1" t="str">
        <x:v>GR164</x:v>
      </x:c>
      <x:c r="B163" s="1" t="str">
        <x:v>PO0164</x:v>
      </x:c>
      <x:c r="C163" s="5" t="n">
        <x:v>46115</x:v>
      </x:c>
      <x:c r="D163" s="1" t="n">
        <x:v>4194</x:v>
      </x:c>
    </x:row>
    <x:row r="164">
      <x:c r="A164" s="1" t="str">
        <x:v>GR165</x:v>
      </x:c>
      <x:c r="B164" s="1" t="str">
        <x:v>PO0165</x:v>
      </x:c>
      <x:c r="C164" s="5" t="n">
        <x:v>46149</x:v>
      </x:c>
      <x:c r="D164" s="1" t="n">
        <x:v>2188</x:v>
      </x:c>
    </x:row>
    <x:row r="165">
      <x:c r="A165" s="1" t="str">
        <x:v>GR166</x:v>
      </x:c>
      <x:c r="B165" s="1" t="str">
        <x:v>PO0166</x:v>
      </x:c>
      <x:c r="C165" s="5" t="n">
        <x:v>46172</x:v>
      </x:c>
      <x:c r="D165" s="1" t="n">
        <x:v>3291</x:v>
      </x:c>
    </x:row>
    <x:row r="166">
      <x:c r="A166" s="1" t="str">
        <x:v>GR167</x:v>
      </x:c>
      <x:c r="B166" s="1" t="str">
        <x:v>PO0167</x:v>
      </x:c>
      <x:c r="C166" s="5" t="n">
        <x:v>46092</x:v>
      </x:c>
      <x:c r="D166" s="1" t="n">
        <x:v>1180</x:v>
      </x:c>
    </x:row>
    <x:row r="167">
      <x:c r="A167" s="1" t="str">
        <x:v>GR168</x:v>
      </x:c>
      <x:c r="B167" s="1" t="str">
        <x:v>PO0168</x:v>
      </x:c>
      <x:c r="C167" s="5" t="n">
        <x:v>46097</x:v>
      </x:c>
      <x:c r="D167" s="1" t="n">
        <x:v>3488</x:v>
      </x:c>
    </x:row>
    <x:row r="168">
      <x:c r="A168" s="1" t="str">
        <x:v>GR169</x:v>
      </x:c>
      <x:c r="B168" s="1" t="str">
        <x:v>PO0169</x:v>
      </x:c>
      <x:c r="C168" s="5" t="n">
        <x:v>46171</x:v>
      </x:c>
      <x:c r="D168" s="1" t="n">
        <x:v>2729</x:v>
      </x:c>
    </x:row>
    <x:row r="169">
      <x:c r="A169" s="1" t="str">
        <x:v>GR170</x:v>
      </x:c>
      <x:c r="B169" s="1" t="str">
        <x:v>PO0170</x:v>
      </x:c>
      <x:c r="C169" s="5" t="n">
        <x:v>46162</x:v>
      </x:c>
      <x:c r="D169" s="1" t="n">
        <x:v>782</x:v>
      </x:c>
    </x:row>
    <x:row r="170">
      <x:c r="A170" s="1" t="str">
        <x:v>GR171</x:v>
      </x:c>
      <x:c r="B170" s="1" t="str">
        <x:v>PO0171</x:v>
      </x:c>
      <x:c r="C170" s="5" t="n">
        <x:v>46057</x:v>
      </x:c>
      <x:c r="D170" s="1" t="n">
        <x:v>423</x:v>
      </x:c>
    </x:row>
    <x:row r="171">
      <x:c r="A171" s="1" t="str">
        <x:v>GR172</x:v>
      </x:c>
      <x:c r="B171" s="1" t="str">
        <x:v>PO0172</x:v>
      </x:c>
      <x:c r="C171" s="5" t="n">
        <x:v>46138</x:v>
      </x:c>
      <x:c r="D171" s="1" t="n">
        <x:v>2358</x:v>
      </x:c>
    </x:row>
    <x:row r="172">
      <x:c r="A172" s="1" t="str">
        <x:v>GR173</x:v>
      </x:c>
      <x:c r="B172" s="1" t="str">
        <x:v>PO0173</x:v>
      </x:c>
      <x:c r="C172" s="5" t="n">
        <x:v>46095</x:v>
      </x:c>
      <x:c r="D172" s="1" t="n">
        <x:v>4971</x:v>
      </x:c>
    </x:row>
    <x:row r="173">
      <x:c r="A173" s="1" t="str">
        <x:v>GR174</x:v>
      </x:c>
      <x:c r="B173" s="1" t="str">
        <x:v>PO0174</x:v>
      </x:c>
      <x:c r="C173" s="5" t="n">
        <x:v>46295</x:v>
      </x:c>
      <x:c r="D173" s="1" t="n">
        <x:v>4880</x:v>
      </x:c>
    </x:row>
    <x:row r="174">
      <x:c r="A174" s="1" t="str">
        <x:v>GR175</x:v>
      </x:c>
      <x:c r="B174" s="1" t="str">
        <x:v>PO0175</x:v>
      </x:c>
      <x:c r="C174" s="5" t="n">
        <x:v>46118</x:v>
      </x:c>
      <x:c r="D174" s="1" t="n">
        <x:v>2648</x:v>
      </x:c>
    </x:row>
    <x:row r="175">
      <x:c r="A175" s="1" t="str">
        <x:v>GR176</x:v>
      </x:c>
      <x:c r="B175" s="1" t="str">
        <x:v>PO0176</x:v>
      </x:c>
      <x:c r="C175" s="5" t="n">
        <x:v>46231</x:v>
      </x:c>
      <x:c r="D175" s="1" t="n">
        <x:v>1174</x:v>
      </x:c>
    </x:row>
    <x:row r="176">
      <x:c r="A176" s="1" t="str">
        <x:v>GR177</x:v>
      </x:c>
      <x:c r="B176" s="1" t="str">
        <x:v>PO0177</x:v>
      </x:c>
      <x:c r="C176" s="5" t="n">
        <x:v>46127</x:v>
      </x:c>
      <x:c r="D176" s="1" t="n">
        <x:v>2835</x:v>
      </x:c>
    </x:row>
    <x:row r="177">
      <x:c r="A177" s="1" t="str">
        <x:v>GR178</x:v>
      </x:c>
      <x:c r="B177" s="1" t="str">
        <x:v>PO0178</x:v>
      </x:c>
      <x:c r="C177" s="5" t="n">
        <x:v>46231</x:v>
      </x:c>
      <x:c r="D177" s="1" t="n">
        <x:v>3552</x:v>
      </x:c>
    </x:row>
    <x:row r="178">
      <x:c r="A178" s="1" t="str">
        <x:v>GR179</x:v>
      </x:c>
      <x:c r="B178" s="1" t="str">
        <x:v>PO0179</x:v>
      </x:c>
      <x:c r="C178" s="5" t="n">
        <x:v>46146</x:v>
      </x:c>
      <x:c r="D178" s="1" t="n">
        <x:v>3300</x:v>
      </x:c>
    </x:row>
    <x:row r="179">
      <x:c r="A179" s="1" t="str">
        <x:v>GR180</x:v>
      </x:c>
      <x:c r="B179" s="1" t="str">
        <x:v>PO0180</x:v>
      </x:c>
      <x:c r="C179" s="5" t="n">
        <x:v>46220</x:v>
      </x:c>
      <x:c r="D179" s="1" t="n">
        <x:v>1619</x:v>
      </x:c>
    </x:row>
    <x:row r="180">
      <x:c r="A180" s="1" t="str">
        <x:v>GR181</x:v>
      </x:c>
      <x:c r="B180" s="1" t="str">
        <x:v>PO0181</x:v>
      </x:c>
      <x:c r="C180" s="5" t="n">
        <x:v>46228</x:v>
      </x:c>
      <x:c r="D180" s="1" t="n">
        <x:v>974</x:v>
      </x:c>
    </x:row>
    <x:row r="181">
      <x:c r="A181" s="1" t="str">
        <x:v>GR182</x:v>
      </x:c>
      <x:c r="B181" s="1" t="str">
        <x:v>PO0182</x:v>
      </x:c>
      <x:c r="C181" s="5" t="n">
        <x:v>46172</x:v>
      </x:c>
      <x:c r="D181" s="1" t="n">
        <x:v>1994</x:v>
      </x:c>
    </x:row>
    <x:row r="182">
      <x:c r="A182" s="1" t="str">
        <x:v>GR183</x:v>
      </x:c>
      <x:c r="B182" s="1" t="str">
        <x:v>PO0183</x:v>
      </x:c>
      <x:c r="C182" s="5" t="n">
        <x:v>46110</x:v>
      </x:c>
      <x:c r="D182" s="1" t="n">
        <x:v>3969</x:v>
      </x:c>
    </x:row>
    <x:row r="183">
      <x:c r="A183" s="1" t="str">
        <x:v>GR184</x:v>
      </x:c>
      <x:c r="B183" s="1" t="str">
        <x:v>PO0184</x:v>
      </x:c>
      <x:c r="C183" s="5" t="n">
        <x:v>46259</x:v>
      </x:c>
      <x:c r="D183" s="1" t="n">
        <x:v>3986</x:v>
      </x:c>
    </x:row>
    <x:row r="184">
      <x:c r="A184" s="1" t="str">
        <x:v>GR185</x:v>
      </x:c>
      <x:c r="B184" s="1" t="str">
        <x:v>PO0185</x:v>
      </x:c>
      <x:c r="C184" s="5" t="n">
        <x:v>46275</x:v>
      </x:c>
      <x:c r="D184" s="1" t="n">
        <x:v>988</x:v>
      </x:c>
    </x:row>
    <x:row r="185">
      <x:c r="A185" s="1" t="str">
        <x:v>GR186</x:v>
      </x:c>
      <x:c r="B185" s="1" t="str">
        <x:v>PO0186</x:v>
      </x:c>
      <x:c r="C185" s="5" t="n">
        <x:v>46074</x:v>
      </x:c>
      <x:c r="D185" s="1" t="n">
        <x:v>932</x:v>
      </x:c>
    </x:row>
    <x:row r="186">
      <x:c r="A186" s="1" t="str">
        <x:v>GR187</x:v>
      </x:c>
      <x:c r="B186" s="1" t="str">
        <x:v>PO0187</x:v>
      </x:c>
      <x:c r="C186" s="5" t="n">
        <x:v>46159</x:v>
      </x:c>
      <x:c r="D186" s="1" t="n">
        <x:v>4059</x:v>
      </x:c>
    </x:row>
    <x:row r="187">
      <x:c r="A187" s="1" t="str">
        <x:v>GR188</x:v>
      </x:c>
      <x:c r="B187" s="1" t="str">
        <x:v>PO0188</x:v>
      </x:c>
      <x:c r="C187" s="5" t="n">
        <x:v>46239</x:v>
      </x:c>
      <x:c r="D187" s="1" t="n">
        <x:v>259</x:v>
      </x:c>
    </x:row>
    <x:row r="188">
      <x:c r="A188" s="1" t="str">
        <x:v>GR189</x:v>
      </x:c>
      <x:c r="B188" s="1" t="str">
        <x:v>PO0189</x:v>
      </x:c>
      <x:c r="C188" s="5" t="n">
        <x:v>46122</x:v>
      </x:c>
      <x:c r="D188" s="1" t="n">
        <x:v>3682</x:v>
      </x:c>
    </x:row>
    <x:row r="189">
      <x:c r="A189" s="1" t="str">
        <x:v>GR190</x:v>
      </x:c>
      <x:c r="B189" s="1" t="str">
        <x:v>PO0190</x:v>
      </x:c>
      <x:c r="C189" s="5" t="n">
        <x:v>46134</x:v>
      </x:c>
      <x:c r="D189" s="1" t="n">
        <x:v>4618</x:v>
      </x:c>
    </x:row>
    <x:row r="190">
      <x:c r="A190" s="1" t="str">
        <x:v>GR191</x:v>
      </x:c>
      <x:c r="B190" s="1" t="str">
        <x:v>PO0191</x:v>
      </x:c>
      <x:c r="C190" s="5" t="n">
        <x:v>46218</x:v>
      </x:c>
      <x:c r="D190" s="1" t="n">
        <x:v>1702</x:v>
      </x:c>
    </x:row>
    <x:row r="191">
      <x:c r="A191" s="1" t="str">
        <x:v>GR192</x:v>
      </x:c>
      <x:c r="B191" s="1" t="str">
        <x:v>PO0192</x:v>
      </x:c>
      <x:c r="C191" s="5" t="n">
        <x:v>46123</x:v>
      </x:c>
      <x:c r="D191" s="1" t="n">
        <x:v>3136</x:v>
      </x:c>
    </x:row>
    <x:row r="192">
      <x:c r="A192" s="1" t="str">
        <x:v>GR193</x:v>
      </x:c>
      <x:c r="B192" s="1" t="str">
        <x:v>PO0193</x:v>
      </x:c>
      <x:c r="C192" s="5" t="n">
        <x:v>46240</x:v>
      </x:c>
      <x:c r="D192" s="1" t="n">
        <x:v>1971</x:v>
      </x:c>
    </x:row>
    <x:row r="193">
      <x:c r="A193" s="1" t="str">
        <x:v>GR194</x:v>
      </x:c>
      <x:c r="B193" s="1" t="str">
        <x:v>PO0194</x:v>
      </x:c>
      <x:c r="C193" s="5" t="n">
        <x:v>46249</x:v>
      </x:c>
      <x:c r="D193" s="1" t="n">
        <x:v>1335</x:v>
      </x:c>
    </x:row>
    <x:row r="194">
      <x:c r="A194" s="1" t="str">
        <x:v>GR195</x:v>
      </x:c>
      <x:c r="B194" s="1" t="str">
        <x:v>PO0195</x:v>
      </x:c>
      <x:c r="C194" s="5" t="n">
        <x:v>46159</x:v>
      </x:c>
      <x:c r="D194" s="1" t="n">
        <x:v>3565</x:v>
      </x:c>
    </x:row>
    <x:row r="195">
      <x:c r="A195" s="1" t="str">
        <x:v>GR196</x:v>
      </x:c>
      <x:c r="B195" s="1" t="str">
        <x:v>PO0196</x:v>
      </x:c>
      <x:c r="C195" s="5" t="n">
        <x:v>46169</x:v>
      </x:c>
      <x:c r="D195" s="1" t="n">
        <x:v>561</x:v>
      </x:c>
    </x:row>
    <x:row r="196">
      <x:c r="A196" s="1" t="str">
        <x:v>GR197</x:v>
      </x:c>
      <x:c r="B196" s="1" t="str">
        <x:v>PO0197</x:v>
      </x:c>
      <x:c r="C196" s="5" t="n">
        <x:v>46169</x:v>
      </x:c>
      <x:c r="D196" s="1" t="n">
        <x:v>1149</x:v>
      </x:c>
    </x:row>
    <x:row r="197">
      <x:c r="A197" s="1" t="str">
        <x:v>GR198</x:v>
      </x:c>
      <x:c r="B197" s="1" t="str">
        <x:v>PO0198</x:v>
      </x:c>
      <x:c r="C197" s="5" t="n">
        <x:v>46211</x:v>
      </x:c>
      <x:c r="D197" s="1" t="n">
        <x:v>553</x:v>
      </x:c>
    </x:row>
    <x:row r="198">
      <x:c r="A198" s="1" t="str">
        <x:v>GR199</x:v>
      </x:c>
      <x:c r="B198" s="1" t="str">
        <x:v>PO0199</x:v>
      </x:c>
      <x:c r="C198" s="5" t="n">
        <x:v>46156</x:v>
      </x:c>
      <x:c r="D198" s="1" t="n">
        <x:v>415</x:v>
      </x:c>
    </x:row>
    <x:row r="199">
      <x:c r="A199" s="1" t="str">
        <x:v>GR200</x:v>
      </x:c>
      <x:c r="B199" s="1" t="str">
        <x:v>PO0200</x:v>
      </x:c>
      <x:c r="C199" s="5" t="n">
        <x:v>46102</x:v>
      </x:c>
      <x:c r="D199" s="1" t="n">
        <x:v>896</x:v>
      </x:c>
    </x:row>
    <x:row r="200">
      <x:c r="A200" s="1" t="str">
        <x:v>GR201</x:v>
      </x:c>
      <x:c r="B200" s="1" t="str">
        <x:v>PO0201</x:v>
      </x:c>
      <x:c r="C200" s="5" t="n">
        <x:v>46118</x:v>
      </x:c>
      <x:c r="D200" s="1" t="n">
        <x:v>4743</x:v>
      </x:c>
    </x:row>
    <x:row r="201">
      <x:c r="A201" s="1" t="str">
        <x:v>GR202</x:v>
      </x:c>
      <x:c r="B201" s="1" t="str">
        <x:v>PO0202</x:v>
      </x:c>
      <x:c r="C201" s="5" t="n">
        <x:v>46170</x:v>
      </x:c>
      <x:c r="D201" s="1" t="n">
        <x:v>3581</x:v>
      </x:c>
    </x:row>
    <x:row r="202">
      <x:c r="A202" s="1" t="str">
        <x:v>GR203</x:v>
      </x:c>
      <x:c r="B202" s="1" t="str">
        <x:v>PO0203</x:v>
      </x:c>
      <x:c r="C202" s="5" t="n">
        <x:v>46198</x:v>
      </x:c>
      <x:c r="D202" s="1" t="n">
        <x:v>894</x:v>
      </x:c>
    </x:row>
    <x:row r="203">
      <x:c r="A203" s="1" t="str">
        <x:v>GR204</x:v>
      </x:c>
      <x:c r="B203" s="1" t="str">
        <x:v>PO0204</x:v>
      </x:c>
      <x:c r="C203" s="5" t="n">
        <x:v>46289</x:v>
      </x:c>
      <x:c r="D203" s="1" t="n">
        <x:v>3192</x:v>
      </x:c>
    </x:row>
    <x:row r="204">
      <x:c r="A204" s="1" t="str">
        <x:v>GR205</x:v>
      </x:c>
      <x:c r="B204" s="1" t="str">
        <x:v>PO0205</x:v>
      </x:c>
      <x:c r="C204" s="5" t="n">
        <x:v>46101</x:v>
      </x:c>
      <x:c r="D204" s="1" t="n">
        <x:v>1964</x:v>
      </x:c>
    </x:row>
    <x:row r="205">
      <x:c r="A205" s="1" t="str">
        <x:v>GR206</x:v>
      </x:c>
      <x:c r="B205" s="1" t="str">
        <x:v>PO0206</x:v>
      </x:c>
      <x:c r="C205" s="5" t="n">
        <x:v>46195</x:v>
      </x:c>
      <x:c r="D205" s="1" t="n">
        <x:v>3112</x:v>
      </x:c>
    </x:row>
    <x:row r="206">
      <x:c r="A206" s="1" t="str">
        <x:v>GR207</x:v>
      </x:c>
      <x:c r="B206" s="1" t="str">
        <x:v>PO0207</x:v>
      </x:c>
      <x:c r="C206" s="5" t="n">
        <x:v>46063</x:v>
      </x:c>
      <x:c r="D206" s="1" t="n">
        <x:v>4238</x:v>
      </x:c>
    </x:row>
    <x:row r="207">
      <x:c r="A207" s="1" t="str">
        <x:v>GR208</x:v>
      </x:c>
      <x:c r="B207" s="1" t="str">
        <x:v>PO0208</x:v>
      </x:c>
      <x:c r="C207" s="5" t="n">
        <x:v>46102</x:v>
      </x:c>
      <x:c r="D207" s="1" t="n">
        <x:v>1492</x:v>
      </x:c>
    </x:row>
    <x:row r="208">
      <x:c r="A208" s="1" t="str">
        <x:v>GR209</x:v>
      </x:c>
      <x:c r="B208" s="1" t="str">
        <x:v>PO0209</x:v>
      </x:c>
      <x:c r="C208" s="5" t="n">
        <x:v>46161</x:v>
      </x:c>
      <x:c r="D208" s="1" t="n">
        <x:v>1993</x:v>
      </x:c>
    </x:row>
    <x:row r="209">
      <x:c r="A209" s="1" t="str">
        <x:v>GR210</x:v>
      </x:c>
      <x:c r="B209" s="1" t="str">
        <x:v>PO0210</x:v>
      </x:c>
      <x:c r="C209" s="5" t="n">
        <x:v>46232</x:v>
      </x:c>
      <x:c r="D209" s="1" t="n">
        <x:v>3982</x:v>
      </x:c>
    </x:row>
    <x:row r="210">
      <x:c r="A210" s="1" t="str">
        <x:v>GR211</x:v>
      </x:c>
      <x:c r="B210" s="1" t="str">
        <x:v>PO0211</x:v>
      </x:c>
      <x:c r="C210" s="5" t="n">
        <x:v>46212</x:v>
      </x:c>
      <x:c r="D210" s="1" t="n">
        <x:v>2141</x:v>
      </x:c>
    </x:row>
    <x:row r="211">
      <x:c r="A211" s="1" t="str">
        <x:v>GR212</x:v>
      </x:c>
      <x:c r="B211" s="1" t="str">
        <x:v>PO0212</x:v>
      </x:c>
      <x:c r="C211" s="5" t="n">
        <x:v>46158</x:v>
      </x:c>
      <x:c r="D211" s="1" t="n">
        <x:v>468</x:v>
      </x:c>
    </x:row>
    <x:row r="212">
      <x:c r="A212" s="1" t="str">
        <x:v>GR213</x:v>
      </x:c>
      <x:c r="B212" s="1" t="str">
        <x:v>PO0213</x:v>
      </x:c>
      <x:c r="C212" s="5" t="n">
        <x:v>46096</x:v>
      </x:c>
      <x:c r="D212" s="1" t="n">
        <x:v>1556</x:v>
      </x:c>
    </x:row>
    <x:row r="213">
      <x:c r="A213" s="1" t="str">
        <x:v>GR214</x:v>
      </x:c>
      <x:c r="B213" s="1" t="str">
        <x:v>PO0214</x:v>
      </x:c>
      <x:c r="C213" s="5" t="n">
        <x:v>46228</x:v>
      </x:c>
      <x:c r="D213" s="1" t="n">
        <x:v>3401</x:v>
      </x:c>
    </x:row>
    <x:row r="214">
      <x:c r="A214" s="1" t="str">
        <x:v>GR215</x:v>
      </x:c>
      <x:c r="B214" s="1" t="str">
        <x:v>PO0215</x:v>
      </x:c>
      <x:c r="C214" s="5" t="n">
        <x:v>46104</x:v>
      </x:c>
      <x:c r="D214" s="1" t="n">
        <x:v>1947</x:v>
      </x:c>
    </x:row>
    <x:row r="215">
      <x:c r="A215" s="1" t="str">
        <x:v>GR216</x:v>
      </x:c>
      <x:c r="B215" s="1" t="str">
        <x:v>PO0216</x:v>
      </x:c>
      <x:c r="C215" s="5" t="n">
        <x:v>46077</x:v>
      </x:c>
      <x:c r="D215" s="1" t="n">
        <x:v>2857</x:v>
      </x:c>
    </x:row>
    <x:row r="216">
      <x:c r="A216" s="1" t="str">
        <x:v>GR217</x:v>
      </x:c>
      <x:c r="B216" s="1" t="str">
        <x:v>PO0217</x:v>
      </x:c>
      <x:c r="C216" s="5" t="n">
        <x:v>46176</x:v>
      </x:c>
      <x:c r="D216" s="1" t="n">
        <x:v>3634</x:v>
      </x:c>
    </x:row>
    <x:row r="217">
      <x:c r="A217" s="1" t="str">
        <x:v>GR218</x:v>
      </x:c>
      <x:c r="B217" s="1" t="str">
        <x:v>PO0218</x:v>
      </x:c>
      <x:c r="C217" s="5" t="n">
        <x:v>46229</x:v>
      </x:c>
      <x:c r="D217" s="1" t="n">
        <x:v>1511</x:v>
      </x:c>
    </x:row>
    <x:row r="218">
      <x:c r="A218" s="1" t="str">
        <x:v>GR219</x:v>
      </x:c>
      <x:c r="B218" s="1" t="str">
        <x:v>PO0219</x:v>
      </x:c>
      <x:c r="C218" s="5" t="n">
        <x:v>46126</x:v>
      </x:c>
      <x:c r="D218" s="1" t="n">
        <x:v>4650</x:v>
      </x:c>
    </x:row>
    <x:row r="219">
      <x:c r="A219" s="1" t="str">
        <x:v>GR220</x:v>
      </x:c>
      <x:c r="B219" s="1" t="str">
        <x:v>PO0220</x:v>
      </x:c>
      <x:c r="C219" s="5" t="n">
        <x:v>46274</x:v>
      </x:c>
      <x:c r="D219" s="1" t="n">
        <x:v>996</x:v>
      </x:c>
    </x:row>
    <x:row r="220">
      <x:c r="A220" s="1" t="str">
        <x:v>GR221</x:v>
      </x:c>
      <x:c r="B220" s="1" t="str">
        <x:v>PO0221</x:v>
      </x:c>
      <x:c r="C220" s="5" t="n">
        <x:v>46239</x:v>
      </x:c>
      <x:c r="D220" s="1" t="n">
        <x:v>962</x:v>
      </x:c>
    </x:row>
    <x:row r="221">
      <x:c r="A221" s="1" t="str">
        <x:v>GR222</x:v>
      </x:c>
      <x:c r="B221" s="1" t="str">
        <x:v>PO0222</x:v>
      </x:c>
      <x:c r="C221" s="5" t="n">
        <x:v>46244</x:v>
      </x:c>
      <x:c r="D221" s="1" t="n">
        <x:v>3553</x:v>
      </x:c>
    </x:row>
    <x:row r="222">
      <x:c r="A222" s="1" t="str">
        <x:v>GR223</x:v>
      </x:c>
      <x:c r="B222" s="1" t="str">
        <x:v>PO0223</x:v>
      </x:c>
      <x:c r="C222" s="5" t="n">
        <x:v>46144</x:v>
      </x:c>
      <x:c r="D222" s="1" t="n">
        <x:v>2362</x:v>
      </x:c>
    </x:row>
    <x:row r="223">
      <x:c r="A223" s="1" t="str">
        <x:v>GR224</x:v>
      </x:c>
      <x:c r="B223" s="1" t="str">
        <x:v>PO0224</x:v>
      </x:c>
      <x:c r="C223" s="5" t="n">
        <x:v>46139</x:v>
      </x:c>
      <x:c r="D223" s="1" t="n">
        <x:v>2351</x:v>
      </x:c>
    </x:row>
    <x:row r="224">
      <x:c r="A224" s="1" t="str">
        <x:v>GR225</x:v>
      </x:c>
      <x:c r="B224" s="1" t="str">
        <x:v>PO0225</x:v>
      </x:c>
      <x:c r="C224" s="5" t="n">
        <x:v>46048</x:v>
      </x:c>
      <x:c r="D224" s="1" t="n">
        <x:v>4573</x:v>
      </x:c>
    </x:row>
    <x:row r="225">
      <x:c r="A225" s="1" t="str">
        <x:v>GR226</x:v>
      </x:c>
      <x:c r="B225" s="1" t="str">
        <x:v>PO0226</x:v>
      </x:c>
      <x:c r="C225" s="5" t="n">
        <x:v>46255</x:v>
      </x:c>
      <x:c r="D225" s="1" t="n">
        <x:v>2316</x:v>
      </x:c>
    </x:row>
    <x:row r="226">
      <x:c r="A226" s="1" t="str">
        <x:v>GR227</x:v>
      </x:c>
      <x:c r="B226" s="1" t="str">
        <x:v>PO0227</x:v>
      </x:c>
      <x:c r="C226" s="5" t="n">
        <x:v>46187</x:v>
      </x:c>
      <x:c r="D226" s="1" t="n">
        <x:v>3761</x:v>
      </x:c>
    </x:row>
    <x:row r="227">
      <x:c r="A227" s="1" t="str">
        <x:v>GR228</x:v>
      </x:c>
      <x:c r="B227" s="1" t="str">
        <x:v>PO0228</x:v>
      </x:c>
      <x:c r="C227" s="5" t="n">
        <x:v>46288</x:v>
      </x:c>
      <x:c r="D227" s="1" t="n">
        <x:v>4240</x:v>
      </x:c>
    </x:row>
    <x:row r="228">
      <x:c r="A228" s="1" t="str">
        <x:v>GR229</x:v>
      </x:c>
      <x:c r="B228" s="1" t="str">
        <x:v>PO0229</x:v>
      </x:c>
      <x:c r="C228" s="5" t="n">
        <x:v>46189</x:v>
      </x:c>
      <x:c r="D228" s="1" t="n">
        <x:v>388</x:v>
      </x:c>
    </x:row>
    <x:row r="229">
      <x:c r="A229" s="1" t="str">
        <x:v>GR230</x:v>
      </x:c>
      <x:c r="B229" s="1" t="str">
        <x:v>PO0230</x:v>
      </x:c>
      <x:c r="C229" s="5" t="n">
        <x:v>46197</x:v>
      </x:c>
      <x:c r="D229" s="1" t="n">
        <x:v>2626</x:v>
      </x:c>
    </x:row>
    <x:row r="230">
      <x:c r="A230" s="1" t="str">
        <x:v>GR231</x:v>
      </x:c>
      <x:c r="B230" s="1" t="str">
        <x:v>PO0231</x:v>
      </x:c>
      <x:c r="C230" s="5" t="n">
        <x:v>46293</x:v>
      </x:c>
      <x:c r="D230" s="1" t="n">
        <x:v>4445</x:v>
      </x:c>
    </x:row>
    <x:row r="231">
      <x:c r="A231" s="1" t="str">
        <x:v>GR232</x:v>
      </x:c>
      <x:c r="B231" s="1" t="str">
        <x:v>PO0232</x:v>
      </x:c>
      <x:c r="C231" s="5" t="n">
        <x:v>46191</x:v>
      </x:c>
      <x:c r="D231" s="1" t="n">
        <x:v>766</x:v>
      </x:c>
    </x:row>
    <x:row r="232">
      <x:c r="A232" s="1" t="str">
        <x:v>GR233</x:v>
      </x:c>
      <x:c r="B232" s="1" t="str">
        <x:v>PO0233</x:v>
      </x:c>
      <x:c r="C232" s="5" t="n">
        <x:v>46051</x:v>
      </x:c>
      <x:c r="D232" s="1" t="n">
        <x:v>880</x:v>
      </x:c>
    </x:row>
    <x:row r="233">
      <x:c r="A233" s="1" t="str">
        <x:v>GR234</x:v>
      </x:c>
      <x:c r="B233" s="1" t="str">
        <x:v>PO0234</x:v>
      </x:c>
      <x:c r="C233" s="5" t="n">
        <x:v>46194</x:v>
      </x:c>
      <x:c r="D233" s="1" t="n">
        <x:v>1547</x:v>
      </x:c>
    </x:row>
    <x:row r="234">
      <x:c r="A234" s="1" t="str">
        <x:v>GR235</x:v>
      </x:c>
      <x:c r="B234" s="1" t="str">
        <x:v>PO0235</x:v>
      </x:c>
      <x:c r="C234" s="5" t="n">
        <x:v>46079</x:v>
      </x:c>
      <x:c r="D234" s="1" t="n">
        <x:v>2393</x:v>
      </x:c>
    </x:row>
    <x:row r="235">
      <x:c r="A235" s="1" t="str">
        <x:v>GR236</x:v>
      </x:c>
      <x:c r="B235" s="1" t="str">
        <x:v>PO0236</x:v>
      </x:c>
      <x:c r="C235" s="5" t="n">
        <x:v>46058</x:v>
      </x:c>
      <x:c r="D235" s="1" t="n">
        <x:v>720</x:v>
      </x:c>
    </x:row>
    <x:row r="236">
      <x:c r="A236" s="1" t="str">
        <x:v>GR237</x:v>
      </x:c>
      <x:c r="B236" s="1" t="str">
        <x:v>PO0237</x:v>
      </x:c>
      <x:c r="C236" s="5" t="n">
        <x:v>46242</x:v>
      </x:c>
      <x:c r="D236" s="1" t="n">
        <x:v>4085</x:v>
      </x:c>
    </x:row>
    <x:row r="237">
      <x:c r="A237" s="1" t="str">
        <x:v>GR238</x:v>
      </x:c>
      <x:c r="B237" s="1" t="str">
        <x:v>PO0238</x:v>
      </x:c>
      <x:c r="C237" s="5" t="n">
        <x:v>46291</x:v>
      </x:c>
      <x:c r="D237" s="1" t="n">
        <x:v>2854</x:v>
      </x:c>
    </x:row>
    <x:row r="238">
      <x:c r="A238" s="1" t="str">
        <x:v>GR239</x:v>
      </x:c>
      <x:c r="B238" s="1" t="str">
        <x:v>PO0239</x:v>
      </x:c>
      <x:c r="C238" s="5" t="n">
        <x:v>46211</x:v>
      </x:c>
      <x:c r="D238" s="1" t="n">
        <x:v>1860</x:v>
      </x:c>
    </x:row>
    <x:row r="239">
      <x:c r="A239" s="1" t="str">
        <x:v>GR240</x:v>
      </x:c>
      <x:c r="B239" s="1" t="str">
        <x:v>PO0240</x:v>
      </x:c>
      <x:c r="C239" s="5" t="n">
        <x:v>46082</x:v>
      </x:c>
      <x:c r="D239" s="1" t="n">
        <x:v>243</x:v>
      </x:c>
    </x:row>
    <x:row r="240">
      <x:c r="A240" s="1" t="str">
        <x:v>GR241</x:v>
      </x:c>
      <x:c r="B240" s="1" t="str">
        <x:v>PO0241</x:v>
      </x:c>
      <x:c r="C240" s="5" t="n">
        <x:v>46240</x:v>
      </x:c>
      <x:c r="D240" s="1" t="n">
        <x:v>4799</x:v>
      </x:c>
    </x:row>
    <x:row r="241">
      <x:c r="A241" s="1" t="str">
        <x:v>GR242</x:v>
      </x:c>
      <x:c r="B241" s="1" t="str">
        <x:v>PO0242</x:v>
      </x:c>
      <x:c r="C241" s="5" t="n">
        <x:v>46211</x:v>
      </x:c>
      <x:c r="D241" s="1" t="n">
        <x:v>4158</x:v>
      </x:c>
    </x:row>
    <x:row r="242">
      <x:c r="A242" s="1" t="str">
        <x:v>GR243</x:v>
      </x:c>
      <x:c r="B242" s="1" t="str">
        <x:v>PO0243</x:v>
      </x:c>
      <x:c r="C242" s="5" t="n">
        <x:v>46084</x:v>
      </x:c>
      <x:c r="D242" s="1" t="n">
        <x:v>3805</x:v>
      </x:c>
    </x:row>
    <x:row r="243">
      <x:c r="A243" s="1" t="str">
        <x:v>GR244</x:v>
      </x:c>
      <x:c r="B243" s="1" t="str">
        <x:v>PO0244</x:v>
      </x:c>
      <x:c r="C243" s="5" t="n">
        <x:v>46263</x:v>
      </x:c>
      <x:c r="D243" s="1" t="n">
        <x:v>1814</x:v>
      </x:c>
    </x:row>
    <x:row r="244">
      <x:c r="A244" s="1" t="str">
        <x:v>GR245</x:v>
      </x:c>
      <x:c r="B244" s="1" t="str">
        <x:v>PO0245</x:v>
      </x:c>
      <x:c r="C244" s="5" t="n">
        <x:v>46074</x:v>
      </x:c>
      <x:c r="D244" s="1" t="n">
        <x:v>3838</x:v>
      </x:c>
    </x:row>
    <x:row r="245">
      <x:c r="A245" s="1" t="str">
        <x:v>GR246</x:v>
      </x:c>
      <x:c r="B245" s="1" t="str">
        <x:v>PO0246</x:v>
      </x:c>
      <x:c r="C245" s="5" t="n">
        <x:v>46178</x:v>
      </x:c>
      <x:c r="D245" s="1" t="n">
        <x:v>4975</x:v>
      </x:c>
    </x:row>
    <x:row r="246">
      <x:c r="A246" s="1" t="str">
        <x:v>GR247</x:v>
      </x:c>
      <x:c r="B246" s="1" t="str">
        <x:v>PO0247</x:v>
      </x:c>
      <x:c r="C246" s="5" t="n">
        <x:v>46075</x:v>
      </x:c>
      <x:c r="D246" s="1" t="n">
        <x:v>3624</x:v>
      </x:c>
    </x:row>
    <x:row r="247">
      <x:c r="A247" s="1" t="str">
        <x:v>GR248</x:v>
      </x:c>
      <x:c r="B247" s="1" t="str">
        <x:v>PO0248</x:v>
      </x:c>
      <x:c r="C247" s="5" t="n">
        <x:v>46111</x:v>
      </x:c>
      <x:c r="D247" s="1" t="n">
        <x:v>3781</x:v>
      </x:c>
    </x:row>
    <x:row r="248">
      <x:c r="A248" s="1" t="str">
        <x:v>GR249</x:v>
      </x:c>
      <x:c r="B248" s="1" t="str">
        <x:v>PO0249</x:v>
      </x:c>
      <x:c r="C248" s="5" t="n">
        <x:v>46077</x:v>
      </x:c>
      <x:c r="D248" s="1" t="n">
        <x:v>3065</x:v>
      </x:c>
    </x:row>
    <x:row r="249">
      <x:c r="A249" s="1" t="str">
        <x:v>GR250</x:v>
      </x:c>
      <x:c r="B249" s="1" t="str">
        <x:v>PO0250</x:v>
      </x:c>
      <x:c r="C249" s="5" t="n">
        <x:v>46257</x:v>
      </x:c>
      <x:c r="D249" s="1" t="n">
        <x:v>915</x:v>
      </x:c>
    </x:row>
    <x:row r="250">
      <x:c r="A250" s="1" t="str">
        <x:v>GR251</x:v>
      </x:c>
      <x:c r="B250" s="1" t="str">
        <x:v>PO0251</x:v>
      </x:c>
      <x:c r="C250" s="5" t="n">
        <x:v>46103</x:v>
      </x:c>
      <x:c r="D250" s="1" t="n">
        <x:v>4469</x:v>
      </x:c>
    </x:row>
    <x:row r="251">
      <x:c r="A251" s="1" t="str">
        <x:v>GR252</x:v>
      </x:c>
      <x:c r="B251" s="1" t="str">
        <x:v>PO0252</x:v>
      </x:c>
      <x:c r="C251" s="5" t="n">
        <x:v>46091</x:v>
      </x:c>
      <x:c r="D251" s="1" t="n">
        <x:v>1650</x:v>
      </x:c>
    </x:row>
    <x:row r="252">
      <x:c r="A252" s="1" t="str">
        <x:v>GR253</x:v>
      </x:c>
      <x:c r="B252" s="1" t="str">
        <x:v>PO0253</x:v>
      </x:c>
      <x:c r="C252" s="5" t="n">
        <x:v>46055</x:v>
      </x:c>
      <x:c r="D252" s="1" t="n">
        <x:v>3595</x:v>
      </x:c>
    </x:row>
    <x:row r="253">
      <x:c r="A253" s="1" t="str">
        <x:v>GR254</x:v>
      </x:c>
      <x:c r="B253" s="1" t="str">
        <x:v>PO0254</x:v>
      </x:c>
      <x:c r="C253" s="5" t="n">
        <x:v>46213</x:v>
      </x:c>
      <x:c r="D253" s="1" t="n">
        <x:v>3766</x:v>
      </x:c>
    </x:row>
    <x:row r="254">
      <x:c r="A254" s="1" t="str">
        <x:v>GR255</x:v>
      </x:c>
      <x:c r="B254" s="1" t="str">
        <x:v>PO0255</x:v>
      </x:c>
      <x:c r="C254" s="5" t="n">
        <x:v>46152</x:v>
      </x:c>
      <x:c r="D254" s="1" t="n">
        <x:v>1983</x:v>
      </x:c>
    </x:row>
    <x:row r="255">
      <x:c r="A255" s="1" t="str">
        <x:v>GR256</x:v>
      </x:c>
      <x:c r="B255" s="1" t="str">
        <x:v>PO0256</x:v>
      </x:c>
      <x:c r="C255" s="5" t="n">
        <x:v>46261</x:v>
      </x:c>
      <x:c r="D255" s="1" t="n">
        <x:v>4599</x:v>
      </x:c>
    </x:row>
    <x:row r="256">
      <x:c r="A256" s="1" t="str">
        <x:v>GR257</x:v>
      </x:c>
      <x:c r="B256" s="1" t="str">
        <x:v>PO0257</x:v>
      </x:c>
      <x:c r="C256" s="5" t="n">
        <x:v>46234</x:v>
      </x:c>
      <x:c r="D256" s="1" t="n">
        <x:v>3441</x:v>
      </x:c>
    </x:row>
    <x:row r="257">
      <x:c r="A257" s="1" t="str">
        <x:v>GR258</x:v>
      </x:c>
      <x:c r="B257" s="1" t="str">
        <x:v>PO0258</x:v>
      </x:c>
      <x:c r="C257" s="5" t="n">
        <x:v>46195</x:v>
      </x:c>
      <x:c r="D257" s="1" t="n">
        <x:v>3251</x:v>
      </x:c>
    </x:row>
    <x:row r="258">
      <x:c r="A258" s="1" t="str">
        <x:v>GR259</x:v>
      </x:c>
      <x:c r="B258" s="1" t="str">
        <x:v>PO0259</x:v>
      </x:c>
      <x:c r="C258" s="5" t="n">
        <x:v>46178</x:v>
      </x:c>
      <x:c r="D258" s="1" t="n">
        <x:v>3576</x:v>
      </x:c>
    </x:row>
    <x:row r="259">
      <x:c r="A259" s="1" t="str">
        <x:v>GR260</x:v>
      </x:c>
      <x:c r="B259" s="1" t="str">
        <x:v>PO0260</x:v>
      </x:c>
      <x:c r="C259" s="5" t="n">
        <x:v>46233</x:v>
      </x:c>
      <x:c r="D259" s="1" t="n">
        <x:v>364</x:v>
      </x:c>
    </x:row>
    <x:row r="260">
      <x:c r="A260" s="1" t="str">
        <x:v>GR261</x:v>
      </x:c>
      <x:c r="B260" s="1" t="str">
        <x:v>PO0261</x:v>
      </x:c>
      <x:c r="C260" s="5" t="n">
        <x:v>46277</x:v>
      </x:c>
      <x:c r="D260" s="1" t="n">
        <x:v>460</x:v>
      </x:c>
    </x:row>
    <x:row r="261">
      <x:c r="A261" s="1" t="str">
        <x:v>GR262</x:v>
      </x:c>
      <x:c r="B261" s="1" t="str">
        <x:v>PO0262</x:v>
      </x:c>
      <x:c r="C261" s="5" t="n">
        <x:v>46136</x:v>
      </x:c>
      <x:c r="D261" s="1" t="n">
        <x:v>2993</x:v>
      </x:c>
    </x:row>
    <x:row r="262">
      <x:c r="A262" s="1" t="str">
        <x:v>GR263</x:v>
      </x:c>
      <x:c r="B262" s="1" t="str">
        <x:v>PO0263</x:v>
      </x:c>
      <x:c r="C262" s="5" t="n">
        <x:v>46108</x:v>
      </x:c>
      <x:c r="D262" s="1" t="n">
        <x:v>4362</x:v>
      </x:c>
    </x:row>
    <x:row r="263">
      <x:c r="A263" s="1" t="str">
        <x:v>GR264</x:v>
      </x:c>
      <x:c r="B263" s="1" t="str">
        <x:v>PO0264</x:v>
      </x:c>
      <x:c r="C263" s="5" t="n">
        <x:v>46139</x:v>
      </x:c>
      <x:c r="D263" s="1" t="n">
        <x:v>3736</x:v>
      </x:c>
    </x:row>
    <x:row r="264">
      <x:c r="A264" s="1" t="str">
        <x:v>GR265</x:v>
      </x:c>
      <x:c r="B264" s="1" t="str">
        <x:v>PO0265</x:v>
      </x:c>
      <x:c r="C264" s="5" t="n">
        <x:v>46245</x:v>
      </x:c>
      <x:c r="D264" s="1" t="n">
        <x:v>1935</x:v>
      </x:c>
    </x:row>
    <x:row r="265">
      <x:c r="A265" s="1" t="str">
        <x:v>GR266</x:v>
      </x:c>
      <x:c r="B265" s="1" t="str">
        <x:v>PO0266</x:v>
      </x:c>
      <x:c r="C265" s="5" t="n">
        <x:v>46223</x:v>
      </x:c>
      <x:c r="D265" s="1" t="n">
        <x:v>872</x:v>
      </x:c>
    </x:row>
    <x:row r="266">
      <x:c r="A266" s="1" t="str">
        <x:v>GR267</x:v>
      </x:c>
      <x:c r="B266" s="1" t="str">
        <x:v>PO0267</x:v>
      </x:c>
      <x:c r="C266" s="5" t="n">
        <x:v>46231</x:v>
      </x:c>
      <x:c r="D266" s="1" t="n">
        <x:v>4709</x:v>
      </x:c>
    </x:row>
    <x:row r="267">
      <x:c r="A267" s="1" t="str">
        <x:v>GR268</x:v>
      </x:c>
      <x:c r="B267" s="1" t="str">
        <x:v>PO0268</x:v>
      </x:c>
      <x:c r="C267" s="5" t="n">
        <x:v>46084</x:v>
      </x:c>
      <x:c r="D267" s="1" t="n">
        <x:v>4381</x:v>
      </x:c>
    </x:row>
    <x:row r="268">
      <x:c r="A268" s="1" t="str">
        <x:v>GR269</x:v>
      </x:c>
      <x:c r="B268" s="1" t="str">
        <x:v>PO0269</x:v>
      </x:c>
      <x:c r="C268" s="5" t="n">
        <x:v>46136</x:v>
      </x:c>
      <x:c r="D268" s="1" t="n">
        <x:v>1680</x:v>
      </x:c>
    </x:row>
    <x:row r="269">
      <x:c r="A269" s="1" t="str">
        <x:v>GR271</x:v>
      </x:c>
      <x:c r="B269" s="1" t="str">
        <x:v>PO0271</x:v>
      </x:c>
      <x:c r="C269" s="5" t="n">
        <x:v>46281</x:v>
      </x:c>
      <x:c r="D269" s="1" t="n">
        <x:v>3583</x:v>
      </x:c>
    </x:row>
    <x:row r="270">
      <x:c r="A270" s="1" t="str">
        <x:v>GR272</x:v>
      </x:c>
      <x:c r="B270" s="1" t="str">
        <x:v>PO0272</x:v>
      </x:c>
      <x:c r="C270" s="5" t="n">
        <x:v>46167</x:v>
      </x:c>
      <x:c r="D270" s="1" t="n">
        <x:v>4804</x:v>
      </x:c>
    </x:row>
    <x:row r="271">
      <x:c r="A271" s="1" t="str">
        <x:v>GR273</x:v>
      </x:c>
      <x:c r="B271" s="1" t="str">
        <x:v>PO0273</x:v>
      </x:c>
      <x:c r="C271" s="5" t="n">
        <x:v>46218</x:v>
      </x:c>
      <x:c r="D271" s="1" t="n">
        <x:v>864</x:v>
      </x:c>
    </x:row>
    <x:row r="272">
      <x:c r="A272" s="1" t="str">
        <x:v>GR274</x:v>
      </x:c>
      <x:c r="B272" s="1" t="str">
        <x:v>PO0274</x:v>
      </x:c>
      <x:c r="C272" s="5" t="n">
        <x:v>46240</x:v>
      </x:c>
      <x:c r="D272" s="1" t="n">
        <x:v>2499</x:v>
      </x:c>
    </x:row>
    <x:row r="273">
      <x:c r="A273" s="1" t="str">
        <x:v>GR275</x:v>
      </x:c>
      <x:c r="B273" s="1" t="str">
        <x:v>PO0275</x:v>
      </x:c>
      <x:c r="C273" s="5" t="n">
        <x:v>46106</x:v>
      </x:c>
      <x:c r="D273" s="1" t="n">
        <x:v>3642</x:v>
      </x:c>
    </x:row>
    <x:row r="274">
      <x:c r="A274" s="1" t="str">
        <x:v>GR276</x:v>
      </x:c>
      <x:c r="B274" s="1" t="str">
        <x:v>PO0276</x:v>
      </x:c>
      <x:c r="C274" s="5" t="n">
        <x:v>46042</x:v>
      </x:c>
      <x:c r="D274" s="1" t="n">
        <x:v>4204</x:v>
      </x:c>
    </x:row>
    <x:row r="275">
      <x:c r="A275" s="1" t="str">
        <x:v>GR277</x:v>
      </x:c>
      <x:c r="B275" s="1" t="str">
        <x:v>PO0277</x:v>
      </x:c>
      <x:c r="C275" s="5" t="n">
        <x:v>46051</x:v>
      </x:c>
      <x:c r="D275" s="1" t="n">
        <x:v>4246</x:v>
      </x:c>
    </x:row>
    <x:row r="276">
      <x:c r="A276" s="1" t="str">
        <x:v>GR278</x:v>
      </x:c>
      <x:c r="B276" s="1" t="str">
        <x:v>PO0278</x:v>
      </x:c>
      <x:c r="C276" s="5" t="n">
        <x:v>46077</x:v>
      </x:c>
      <x:c r="D276" s="1" t="n">
        <x:v>1793</x:v>
      </x:c>
    </x:row>
    <x:row r="277">
      <x:c r="A277" s="1" t="str">
        <x:v>GR279</x:v>
      </x:c>
      <x:c r="B277" s="1" t="str">
        <x:v>PO0279</x:v>
      </x:c>
      <x:c r="C277" s="5" t="n">
        <x:v>46140</x:v>
      </x:c>
      <x:c r="D277" s="1" t="n">
        <x:v>4221</x:v>
      </x:c>
    </x:row>
    <x:row r="278">
      <x:c r="A278" s="1" t="str">
        <x:v>GR280</x:v>
      </x:c>
      <x:c r="B278" s="1" t="str">
        <x:v>PO0280</x:v>
      </x:c>
      <x:c r="C278" s="5" t="n">
        <x:v>46116</x:v>
      </x:c>
      <x:c r="D278" s="1" t="n">
        <x:v>1949</x:v>
      </x:c>
    </x:row>
    <x:row r="279">
      <x:c r="A279" s="1" t="str">
        <x:v>GR281</x:v>
      </x:c>
      <x:c r="B279" s="1" t="str">
        <x:v>PO0281</x:v>
      </x:c>
      <x:c r="C279" s="5" t="n">
        <x:v>46187</x:v>
      </x:c>
      <x:c r="D279" s="1" t="n">
        <x:v>1013</x:v>
      </x:c>
    </x:row>
    <x:row r="280">
      <x:c r="A280" s="1" t="str">
        <x:v>GR282</x:v>
      </x:c>
      <x:c r="B280" s="1" t="str">
        <x:v>PO0282</x:v>
      </x:c>
      <x:c r="C280" s="5" t="n">
        <x:v>46123</x:v>
      </x:c>
      <x:c r="D280" s="1" t="n">
        <x:v>244</x:v>
      </x:c>
    </x:row>
    <x:row r="281">
      <x:c r="A281" s="1" t="str">
        <x:v>GR283</x:v>
      </x:c>
      <x:c r="B281" s="1" t="str">
        <x:v>PO0283</x:v>
      </x:c>
      <x:c r="C281" s="5" t="n">
        <x:v>46072</x:v>
      </x:c>
      <x:c r="D281" s="1" t="n">
        <x:v>1878</x:v>
      </x:c>
    </x:row>
    <x:row r="282">
      <x:c r="A282" s="1" t="str">
        <x:v>GR284</x:v>
      </x:c>
      <x:c r="B282" s="1" t="str">
        <x:v>PO0284</x:v>
      </x:c>
      <x:c r="C282" s="5" t="n">
        <x:v>46049</x:v>
      </x:c>
      <x:c r="D282" s="1" t="n">
        <x:v>114</x:v>
      </x:c>
    </x:row>
    <x:row r="283">
      <x:c r="A283" s="1" t="str">
        <x:v>GR285</x:v>
      </x:c>
      <x:c r="B283" s="1" t="str">
        <x:v>PO0285</x:v>
      </x:c>
      <x:c r="C283" s="5" t="n">
        <x:v>46292</x:v>
      </x:c>
      <x:c r="D283" s="1" t="n">
        <x:v>4864</x:v>
      </x:c>
    </x:row>
    <x:row r="284">
      <x:c r="A284" s="1" t="str">
        <x:v>GR286</x:v>
      </x:c>
      <x:c r="B284" s="1" t="str">
        <x:v>PO0286</x:v>
      </x:c>
      <x:c r="C284" s="5" t="n">
        <x:v>46226</x:v>
      </x:c>
      <x:c r="D284" s="1" t="n">
        <x:v>3452</x:v>
      </x:c>
    </x:row>
    <x:row r="285">
      <x:c r="A285" s="1" t="str">
        <x:v>GR288</x:v>
      </x:c>
      <x:c r="B285" s="1" t="str">
        <x:v>PO0288</x:v>
      </x:c>
      <x:c r="C285" s="5" t="n">
        <x:v>46113</x:v>
      </x:c>
      <x:c r="D285" s="1" t="n">
        <x:v>2038</x:v>
      </x:c>
    </x:row>
    <x:row r="286">
      <x:c r="A286" s="1" t="str">
        <x:v>GR289</x:v>
      </x:c>
      <x:c r="B286" s="1" t="str">
        <x:v>PO0289</x:v>
      </x:c>
      <x:c r="C286" s="5" t="n">
        <x:v>46174</x:v>
      </x:c>
      <x:c r="D286" s="1" t="n">
        <x:v>131</x:v>
      </x:c>
    </x:row>
    <x:row r="287">
      <x:c r="A287" s="1" t="str">
        <x:v>GR290</x:v>
      </x:c>
      <x:c r="B287" s="1" t="str">
        <x:v>PO0290</x:v>
      </x:c>
      <x:c r="C287" s="5" t="n">
        <x:v>46248</x:v>
      </x:c>
      <x:c r="D287" s="1" t="n">
        <x:v>3207</x:v>
      </x:c>
    </x:row>
    <x:row r="288">
      <x:c r="A288" s="1" t="str">
        <x:v>GR291</x:v>
      </x:c>
      <x:c r="B288" s="1" t="str">
        <x:v>PO0291</x:v>
      </x:c>
      <x:c r="C288" s="5" t="n">
        <x:v>46197</x:v>
      </x:c>
      <x:c r="D288" s="1" t="n">
        <x:v>2305</x:v>
      </x:c>
    </x:row>
    <x:row r="289">
      <x:c r="A289" s="1" t="str">
        <x:v>GR292</x:v>
      </x:c>
      <x:c r="B289" s="1" t="str">
        <x:v>PO0292</x:v>
      </x:c>
      <x:c r="C289" s="5" t="n">
        <x:v>46195</x:v>
      </x:c>
      <x:c r="D289" s="1" t="n">
        <x:v>3303</x:v>
      </x:c>
    </x:row>
    <x:row r="290">
      <x:c r="A290" s="1" t="str">
        <x:v>GR293</x:v>
      </x:c>
      <x:c r="B290" s="1" t="str">
        <x:v>PO0293</x:v>
      </x:c>
      <x:c r="C290" s="5" t="n">
        <x:v>46294</x:v>
      </x:c>
      <x:c r="D290" s="1" t="n">
        <x:v>4893</x:v>
      </x:c>
    </x:row>
    <x:row r="291">
      <x:c r="A291" s="1" t="str">
        <x:v>GR294</x:v>
      </x:c>
      <x:c r="B291" s="1" t="str">
        <x:v>PO0294</x:v>
      </x:c>
      <x:c r="C291" s="5" t="n">
        <x:v>46273</x:v>
      </x:c>
      <x:c r="D291" s="1" t="n">
        <x:v>4796</x:v>
      </x:c>
    </x:row>
    <x:row r="292">
      <x:c r="A292" s="1" t="str">
        <x:v>GR295</x:v>
      </x:c>
      <x:c r="B292" s="1" t="str">
        <x:v>PO0295</x:v>
      </x:c>
      <x:c r="C292" s="5" t="n">
        <x:v>46221</x:v>
      </x:c>
      <x:c r="D292" s="1" t="n">
        <x:v>1005</x:v>
      </x:c>
    </x:row>
    <x:row r="293">
      <x:c r="A293" s="1" t="str">
        <x:v>GR296</x:v>
      </x:c>
      <x:c r="B293" s="1" t="str">
        <x:v>PO0296</x:v>
      </x:c>
      <x:c r="C293" s="5" t="n">
        <x:v>46093</x:v>
      </x:c>
      <x:c r="D293" s="1" t="n">
        <x:v>4494</x:v>
      </x:c>
    </x:row>
    <x:row r="294">
      <x:c r="A294" s="1" t="str">
        <x:v>GR297</x:v>
      </x:c>
      <x:c r="B294" s="1" t="str">
        <x:v>PO0297</x:v>
      </x:c>
      <x:c r="C294" s="5" t="n">
        <x:v>46211</x:v>
      </x:c>
      <x:c r="D294" s="1" t="n">
        <x:v>2538</x:v>
      </x:c>
    </x:row>
    <x:row r="295">
      <x:c r="A295" s="1" t="str">
        <x:v>GR298</x:v>
      </x:c>
      <x:c r="B295" s="1" t="str">
        <x:v>PO0298</x:v>
      </x:c>
      <x:c r="C295" s="5" t="n">
        <x:v>46114</x:v>
      </x:c>
      <x:c r="D295" s="1" t="n">
        <x:v>4708</x:v>
      </x:c>
    </x:row>
    <x:row r="296">
      <x:c r="A296" s="1" t="str">
        <x:v>GR299</x:v>
      </x:c>
      <x:c r="B296" s="1" t="str">
        <x:v>PO0299</x:v>
      </x:c>
      <x:c r="C296" s="5" t="n">
        <x:v>46274</x:v>
      </x:c>
      <x:c r="D296" s="1" t="n">
        <x:v>3975</x:v>
      </x:c>
    </x:row>
    <x:row r="297">
      <x:c r="A297" s="1" t="str">
        <x:v>GR300</x:v>
      </x:c>
      <x:c r="B297" s="1" t="str">
        <x:v>PO0300</x:v>
      </x:c>
      <x:c r="C297" s="5" t="n">
        <x:v>46285</x:v>
      </x:c>
      <x:c r="D297" s="1" t="n">
        <x:v>1805</x:v>
      </x:c>
    </x:row>
    <x:row r="298">
      <x:c r="A298" s="1" t="str">
        <x:v>GR301</x:v>
      </x:c>
      <x:c r="B298" s="1" t="str">
        <x:v>PO0301</x:v>
      </x:c>
      <x:c r="C298" s="5" t="n">
        <x:v>46063</x:v>
      </x:c>
      <x:c r="D298" s="1" t="n">
        <x:v>4166</x:v>
      </x:c>
    </x:row>
    <x:row r="299">
      <x:c r="A299" s="1" t="str">
        <x:v>GR302</x:v>
      </x:c>
      <x:c r="B299" s="1" t="str">
        <x:v>PO0302</x:v>
      </x:c>
      <x:c r="C299" s="5" t="n">
        <x:v>46117</x:v>
      </x:c>
      <x:c r="D299" s="1" t="n">
        <x:v>437</x:v>
      </x:c>
    </x:row>
    <x:row r="300">
      <x:c r="A300" s="1" t="str">
        <x:v>GR303</x:v>
      </x:c>
      <x:c r="B300" s="1" t="str">
        <x:v>PO0303</x:v>
      </x:c>
      <x:c r="C300" s="5" t="n">
        <x:v>46251</x:v>
      </x:c>
      <x:c r="D300" s="1" t="n">
        <x:v>4015</x:v>
      </x:c>
    </x:row>
    <x:row r="301">
      <x:c r="A301" s="1" t="str">
        <x:v>GR304</x:v>
      </x:c>
      <x:c r="B301" s="1" t="str">
        <x:v>PO0304</x:v>
      </x:c>
      <x:c r="C301" s="5" t="n">
        <x:v>46068</x:v>
      </x:c>
      <x:c r="D301" s="1" t="n">
        <x:v>1114</x:v>
      </x:c>
    </x:row>
    <x:row r="302">
      <x:c r="A302" s="1" t="str">
        <x:v>GR305</x:v>
      </x:c>
      <x:c r="B302" s="1" t="str">
        <x:v>PO0305</x:v>
      </x:c>
      <x:c r="C302" s="5" t="n">
        <x:v>46187</x:v>
      </x:c>
      <x:c r="D302" s="1" t="n">
        <x:v>1744</x:v>
      </x:c>
    </x:row>
    <x:row r="303">
      <x:c r="A303" s="1" t="str">
        <x:v>GR306</x:v>
      </x:c>
      <x:c r="B303" s="1" t="str">
        <x:v>PO0306</x:v>
      </x:c>
      <x:c r="C303" s="5" t="n">
        <x:v>46213</x:v>
      </x:c>
      <x:c r="D303" s="1" t="n">
        <x:v>751</x:v>
      </x:c>
    </x:row>
    <x:row r="304">
      <x:c r="A304" s="1" t="str">
        <x:v>GR307</x:v>
      </x:c>
      <x:c r="B304" s="1" t="str">
        <x:v>PO0307</x:v>
      </x:c>
      <x:c r="C304" s="5" t="n">
        <x:v>46044</x:v>
      </x:c>
      <x:c r="D304" s="1" t="n">
        <x:v>2091</x:v>
      </x:c>
    </x:row>
    <x:row r="305">
      <x:c r="A305" s="1" t="str">
        <x:v>GR308</x:v>
      </x:c>
      <x:c r="B305" s="1" t="str">
        <x:v>PO0308</x:v>
      </x:c>
      <x:c r="C305" s="5" t="n">
        <x:v>46230</x:v>
      </x:c>
      <x:c r="D305" s="1" t="n">
        <x:v>1273</x:v>
      </x:c>
    </x:row>
    <x:row r="306">
      <x:c r="A306" s="1" t="str">
        <x:v>GR309</x:v>
      </x:c>
      <x:c r="B306" s="1" t="str">
        <x:v>PO0309</x:v>
      </x:c>
      <x:c r="C306" s="5" t="n">
        <x:v>46157</x:v>
      </x:c>
      <x:c r="D306" s="1" t="n">
        <x:v>1150</x:v>
      </x:c>
    </x:row>
    <x:row r="307">
      <x:c r="A307" s="1" t="str">
        <x:v>GR310</x:v>
      </x:c>
      <x:c r="B307" s="1" t="str">
        <x:v>PO0310</x:v>
      </x:c>
      <x:c r="C307" s="5" t="n">
        <x:v>46294</x:v>
      </x:c>
      <x:c r="D307" s="1" t="n">
        <x:v>1640</x:v>
      </x:c>
    </x:row>
    <x:row r="308">
      <x:c r="A308" s="1" t="str">
        <x:v>GR311</x:v>
      </x:c>
      <x:c r="B308" s="1" t="str">
        <x:v>PO0311</x:v>
      </x:c>
      <x:c r="C308" s="5" t="n">
        <x:v>46279</x:v>
      </x:c>
      <x:c r="D308" s="1" t="n">
        <x:v>3602</x:v>
      </x:c>
    </x:row>
    <x:row r="309">
      <x:c r="A309" s="1" t="str">
        <x:v>GR312</x:v>
      </x:c>
      <x:c r="B309" s="1" t="str">
        <x:v>PO0312</x:v>
      </x:c>
      <x:c r="C309" s="5" t="n">
        <x:v>46175</x:v>
      </x:c>
      <x:c r="D309" s="1" t="n">
        <x:v>4243</x:v>
      </x:c>
    </x:row>
    <x:row r="310">
      <x:c r="A310" s="1" t="str">
        <x:v>GR313</x:v>
      </x:c>
      <x:c r="B310" s="1" t="str">
        <x:v>PO0313</x:v>
      </x:c>
      <x:c r="C310" s="5" t="n">
        <x:v>46291</x:v>
      </x:c>
      <x:c r="D310" s="1" t="n">
        <x:v>1481</x:v>
      </x:c>
    </x:row>
    <x:row r="311">
      <x:c r="A311" s="1" t="str">
        <x:v>GR314</x:v>
      </x:c>
      <x:c r="B311" s="1" t="str">
        <x:v>PO0314</x:v>
      </x:c>
      <x:c r="C311" s="5" t="n">
        <x:v>46204</x:v>
      </x:c>
      <x:c r="D311" s="1" t="n">
        <x:v>611</x:v>
      </x:c>
    </x:row>
    <x:row r="312">
      <x:c r="A312" s="1" t="str">
        <x:v>GR315</x:v>
      </x:c>
      <x:c r="B312" s="1" t="str">
        <x:v>PO0315</x:v>
      </x:c>
      <x:c r="C312" s="5" t="n">
        <x:v>46230</x:v>
      </x:c>
      <x:c r="D312" s="1" t="n">
        <x:v>1373</x:v>
      </x:c>
    </x:row>
    <x:row r="313">
      <x:c r="A313" s="1" t="str">
        <x:v>GR316</x:v>
      </x:c>
      <x:c r="B313" s="1" t="str">
        <x:v>PO0316</x:v>
      </x:c>
      <x:c r="C313" s="5" t="n">
        <x:v>46167</x:v>
      </x:c>
      <x:c r="D313" s="1" t="n">
        <x:v>3866</x:v>
      </x:c>
    </x:row>
    <x:row r="314">
      <x:c r="A314" s="1" t="str">
        <x:v>GR317</x:v>
      </x:c>
      <x:c r="B314" s="1" t="str">
        <x:v>PO0317</x:v>
      </x:c>
      <x:c r="C314" s="5" t="n">
        <x:v>46131</x:v>
      </x:c>
      <x:c r="D314" s="1" t="n">
        <x:v>335</x:v>
      </x:c>
    </x:row>
    <x:row r="315">
      <x:c r="A315" s="1" t="str">
        <x:v>GR318</x:v>
      </x:c>
      <x:c r="B315" s="1" t="str">
        <x:v>PO0318</x:v>
      </x:c>
      <x:c r="C315" s="5" t="n">
        <x:v>46152</x:v>
      </x:c>
      <x:c r="D315" s="1" t="n">
        <x:v>2423</x:v>
      </x:c>
    </x:row>
    <x:row r="316">
      <x:c r="A316" s="1" t="str">
        <x:v>GR319</x:v>
      </x:c>
      <x:c r="B316" s="1" t="str">
        <x:v>PO0319</x:v>
      </x:c>
      <x:c r="C316" s="5" t="n">
        <x:v>46228</x:v>
      </x:c>
      <x:c r="D316" s="1" t="n">
        <x:v>4934</x:v>
      </x:c>
    </x:row>
    <x:row r="317">
      <x:c r="A317" s="1" t="str">
        <x:v>GR320</x:v>
      </x:c>
      <x:c r="B317" s="1" t="str">
        <x:v>PO0320</x:v>
      </x:c>
      <x:c r="C317" s="5" t="n">
        <x:v>46291</x:v>
      </x:c>
      <x:c r="D317" s="1" t="n">
        <x:v>523</x:v>
      </x:c>
    </x:row>
    <x:row r="318">
      <x:c r="A318" s="1" t="str">
        <x:v>GR321</x:v>
      </x:c>
      <x:c r="B318" s="1" t="str">
        <x:v>PO0321</x:v>
      </x:c>
      <x:c r="C318" s="5" t="n">
        <x:v>46073</x:v>
      </x:c>
      <x:c r="D318" s="1" t="n">
        <x:v>4264</x:v>
      </x:c>
    </x:row>
    <x:row r="319">
      <x:c r="A319" s="1" t="str">
        <x:v>GR322</x:v>
      </x:c>
      <x:c r="B319" s="1" t="str">
        <x:v>PO0322</x:v>
      </x:c>
      <x:c r="C319" s="5" t="n">
        <x:v>46052</x:v>
      </x:c>
      <x:c r="D319" s="1" t="n">
        <x:v>4814</x:v>
      </x:c>
    </x:row>
    <x:row r="320">
      <x:c r="A320" s="1" t="str">
        <x:v>GR323</x:v>
      </x:c>
      <x:c r="B320" s="1" t="str">
        <x:v>PO0323</x:v>
      </x:c>
      <x:c r="C320" s="5" t="n">
        <x:v>46149</x:v>
      </x:c>
      <x:c r="D320" s="1" t="n">
        <x:v>4634</x:v>
      </x:c>
    </x:row>
    <x:row r="321">
      <x:c r="A321" s="1" t="str">
        <x:v>GR324</x:v>
      </x:c>
      <x:c r="B321" s="1" t="str">
        <x:v>PO0324</x:v>
      </x:c>
      <x:c r="C321" s="5" t="n">
        <x:v>46133</x:v>
      </x:c>
      <x:c r="D321" s="1" t="n">
        <x:v>808</x:v>
      </x:c>
    </x:row>
    <x:row r="322">
      <x:c r="A322" s="1" t="str">
        <x:v>GR325</x:v>
      </x:c>
      <x:c r="B322" s="1" t="str">
        <x:v>PO0325</x:v>
      </x:c>
      <x:c r="C322" s="5" t="n">
        <x:v>46223</x:v>
      </x:c>
      <x:c r="D322" s="1" t="n">
        <x:v>569</x:v>
      </x:c>
    </x:row>
    <x:row r="323">
      <x:c r="A323" s="1" t="str">
        <x:v>GR326</x:v>
      </x:c>
      <x:c r="B323" s="1" t="str">
        <x:v>PO0326</x:v>
      </x:c>
      <x:c r="C323" s="5" t="n">
        <x:v>46273</x:v>
      </x:c>
      <x:c r="D323" s="1" t="n">
        <x:v>1102</x:v>
      </x:c>
    </x:row>
    <x:row r="324">
      <x:c r="A324" s="1" t="str">
        <x:v>GR327</x:v>
      </x:c>
      <x:c r="B324" s="1" t="str">
        <x:v>PO0327</x:v>
      </x:c>
      <x:c r="C324" s="5" t="n">
        <x:v>46086</x:v>
      </x:c>
      <x:c r="D324" s="1" t="n">
        <x:v>1757</x:v>
      </x:c>
    </x:row>
    <x:row r="325">
      <x:c r="A325" s="1" t="str">
        <x:v>GR328</x:v>
      </x:c>
      <x:c r="B325" s="1" t="str">
        <x:v>PO0328</x:v>
      </x:c>
      <x:c r="C325" s="5" t="n">
        <x:v>46201</x:v>
      </x:c>
      <x:c r="D325" s="1" t="n">
        <x:v>2648</x:v>
      </x:c>
    </x:row>
    <x:row r="326">
      <x:c r="A326" s="1" t="str">
        <x:v>GR329</x:v>
      </x:c>
      <x:c r="B326" s="1" t="str">
        <x:v>PO0329</x:v>
      </x:c>
      <x:c r="C326" s="5" t="n">
        <x:v>46068</x:v>
      </x:c>
      <x:c r="D326" s="1" t="n">
        <x:v>1987</x:v>
      </x:c>
    </x:row>
    <x:row r="327">
      <x:c r="A327" s="1" t="str">
        <x:v>GR330</x:v>
      </x:c>
      <x:c r="B327" s="1" t="str">
        <x:v>PO0330</x:v>
      </x:c>
      <x:c r="C327" s="5" t="n">
        <x:v>46248</x:v>
      </x:c>
      <x:c r="D327" s="1" t="n">
        <x:v>1379</x:v>
      </x:c>
    </x:row>
    <x:row r="328">
      <x:c r="A328" s="1" t="str">
        <x:v>GR331</x:v>
      </x:c>
      <x:c r="B328" s="1" t="str">
        <x:v>PO0331</x:v>
      </x:c>
      <x:c r="C328" s="5" t="n">
        <x:v>46218</x:v>
      </x:c>
      <x:c r="D328" s="1" t="n">
        <x:v>3457</x:v>
      </x:c>
    </x:row>
    <x:row r="329">
      <x:c r="A329" s="1" t="str">
        <x:v>GR332</x:v>
      </x:c>
      <x:c r="B329" s="1" t="str">
        <x:v>PO0332</x:v>
      </x:c>
      <x:c r="C329" s="5" t="n">
        <x:v>46181</x:v>
      </x:c>
      <x:c r="D329" s="1" t="n">
        <x:v>2093</x:v>
      </x:c>
    </x:row>
    <x:row r="330">
      <x:c r="A330" s="1" t="str">
        <x:v>GR333</x:v>
      </x:c>
      <x:c r="B330" s="1" t="str">
        <x:v>PO0333</x:v>
      </x:c>
      <x:c r="C330" s="5" t="n">
        <x:v>46087</x:v>
      </x:c>
      <x:c r="D330" s="1" t="n">
        <x:v>3416</x:v>
      </x:c>
    </x:row>
    <x:row r="331">
      <x:c r="A331" s="1" t="str">
        <x:v>GR334</x:v>
      </x:c>
      <x:c r="B331" s="1" t="str">
        <x:v>PO0334</x:v>
      </x:c>
      <x:c r="C331" s="5" t="n">
        <x:v>46140</x:v>
      </x:c>
      <x:c r="D331" s="1" t="n">
        <x:v>1111</x:v>
      </x:c>
    </x:row>
    <x:row r="332">
      <x:c r="A332" s="1" t="str">
        <x:v>GR335</x:v>
      </x:c>
      <x:c r="B332" s="1" t="str">
        <x:v>PO0335</x:v>
      </x:c>
      <x:c r="C332" s="5" t="n">
        <x:v>46268</x:v>
      </x:c>
      <x:c r="D332" s="1" t="n">
        <x:v>4477</x:v>
      </x:c>
    </x:row>
    <x:row r="333">
      <x:c r="A333" s="1" t="str">
        <x:v>GR336</x:v>
      </x:c>
      <x:c r="B333" s="1" t="str">
        <x:v>PO0336</x:v>
      </x:c>
      <x:c r="C333" s="5" t="n">
        <x:v>46252</x:v>
      </x:c>
      <x:c r="D333" s="1" t="n">
        <x:v>3675</x:v>
      </x:c>
    </x:row>
    <x:row r="334">
      <x:c r="A334" s="1" t="str">
        <x:v>GR337</x:v>
      </x:c>
      <x:c r="B334" s="1" t="str">
        <x:v>PO0337</x:v>
      </x:c>
      <x:c r="C334" s="5" t="n">
        <x:v>46134</x:v>
      </x:c>
      <x:c r="D334" s="1" t="n">
        <x:v>3465</x:v>
      </x:c>
    </x:row>
    <x:row r="335">
      <x:c r="A335" s="1" t="str">
        <x:v>GR338</x:v>
      </x:c>
      <x:c r="B335" s="1" t="str">
        <x:v>PO0338</x:v>
      </x:c>
      <x:c r="C335" s="5" t="n">
        <x:v>46053</x:v>
      </x:c>
      <x:c r="D335" s="1" t="n">
        <x:v>286</x:v>
      </x:c>
    </x:row>
    <x:row r="336">
      <x:c r="A336" s="1" t="str">
        <x:v>GR339</x:v>
      </x:c>
      <x:c r="B336" s="1" t="str">
        <x:v>PO0339</x:v>
      </x:c>
      <x:c r="C336" s="5" t="n">
        <x:v>46168</x:v>
      </x:c>
      <x:c r="D336" s="1" t="n">
        <x:v>2120</x:v>
      </x:c>
    </x:row>
    <x:row r="337">
      <x:c r="A337" s="1" t="str">
        <x:v>GR340</x:v>
      </x:c>
      <x:c r="B337" s="1" t="str">
        <x:v>PO0340</x:v>
      </x:c>
      <x:c r="C337" s="5" t="n">
        <x:v>46245</x:v>
      </x:c>
      <x:c r="D337" s="1" t="n">
        <x:v>561</x:v>
      </x:c>
    </x:row>
    <x:row r="338">
      <x:c r="A338" s="1" t="str">
        <x:v>GR341</x:v>
      </x:c>
      <x:c r="B338" s="1" t="str">
        <x:v>PO0341</x:v>
      </x:c>
      <x:c r="C338" s="5" t="n">
        <x:v>46084</x:v>
      </x:c>
      <x:c r="D338" s="1" t="n">
        <x:v>2172</x:v>
      </x:c>
    </x:row>
    <x:row r="339">
      <x:c r="A339" s="1" t="str">
        <x:v>GR342</x:v>
      </x:c>
      <x:c r="B339" s="1" t="str">
        <x:v>PO0342</x:v>
      </x:c>
      <x:c r="C339" s="5" t="n">
        <x:v>46200</x:v>
      </x:c>
      <x:c r="D339" s="1" t="n">
        <x:v>1994</x:v>
      </x:c>
    </x:row>
    <x:row r="340">
      <x:c r="A340" s="1" t="str">
        <x:v>GR343</x:v>
      </x:c>
      <x:c r="B340" s="1" t="str">
        <x:v>PO0343</x:v>
      </x:c>
      <x:c r="C340" s="5" t="n">
        <x:v>46074</x:v>
      </x:c>
      <x:c r="D340" s="1" t="n">
        <x:v>155</x:v>
      </x:c>
    </x:row>
    <x:row r="341">
      <x:c r="A341" s="1" t="str">
        <x:v>GR344</x:v>
      </x:c>
      <x:c r="B341" s="1" t="str">
        <x:v>PO0344</x:v>
      </x:c>
      <x:c r="C341" s="5" t="n">
        <x:v>46151</x:v>
      </x:c>
      <x:c r="D341" s="1" t="n">
        <x:v>1745</x:v>
      </x:c>
    </x:row>
    <x:row r="342">
      <x:c r="A342" s="1" t="str">
        <x:v>GR345</x:v>
      </x:c>
      <x:c r="B342" s="1" t="str">
        <x:v>PO0345</x:v>
      </x:c>
      <x:c r="C342" s="5" t="n">
        <x:v>46075</x:v>
      </x:c>
      <x:c r="D342" s="1" t="n">
        <x:v>1506</x:v>
      </x:c>
    </x:row>
    <x:row r="343">
      <x:c r="A343" s="1" t="str">
        <x:v>GR346</x:v>
      </x:c>
      <x:c r="B343" s="1" t="str">
        <x:v>PO0346</x:v>
      </x:c>
      <x:c r="C343" s="5" t="n">
        <x:v>46163</x:v>
      </x:c>
      <x:c r="D343" s="1" t="n">
        <x:v>3008</x:v>
      </x:c>
    </x:row>
    <x:row r="344">
      <x:c r="A344" s="1" t="str">
        <x:v>GR347</x:v>
      </x:c>
      <x:c r="B344" s="1" t="str">
        <x:v>PO0347</x:v>
      </x:c>
      <x:c r="C344" s="5" t="n">
        <x:v>46152</x:v>
      </x:c>
      <x:c r="D344" s="1" t="n">
        <x:v>4124</x:v>
      </x:c>
    </x:row>
    <x:row r="345">
      <x:c r="A345" s="1" t="str">
        <x:v>GR348</x:v>
      </x:c>
      <x:c r="B345" s="1" t="str">
        <x:v>PO0348</x:v>
      </x:c>
      <x:c r="C345" s="5" t="n">
        <x:v>46121</x:v>
      </x:c>
      <x:c r="D345" s="1" t="n">
        <x:v>2731</x:v>
      </x:c>
    </x:row>
    <x:row r="346">
      <x:c r="A346" s="1" t="str">
        <x:v>GR349</x:v>
      </x:c>
      <x:c r="B346" s="1" t="str">
        <x:v>PO0349</x:v>
      </x:c>
      <x:c r="C346" s="5" t="n">
        <x:v>46103</x:v>
      </x:c>
      <x:c r="D346" s="1" t="n">
        <x:v>3208</x:v>
      </x:c>
    </x:row>
    <x:row r="347">
      <x:c r="A347" s="1" t="str">
        <x:v>GR350</x:v>
      </x:c>
      <x:c r="B347" s="1" t="str">
        <x:v>PO0350</x:v>
      </x:c>
      <x:c r="C347" s="5" t="n">
        <x:v>46191</x:v>
      </x:c>
      <x:c r="D347" s="1" t="n">
        <x:v>722</x:v>
      </x:c>
    </x:row>
    <x:row r="348">
      <x:c r="A348" s="1" t="str">
        <x:v>GR351</x:v>
      </x:c>
      <x:c r="B348" s="1" t="str">
        <x:v>PO0351</x:v>
      </x:c>
      <x:c r="C348" s="5" t="n">
        <x:v>46167</x:v>
      </x:c>
      <x:c r="D348" s="1" t="n">
        <x:v>1405</x:v>
      </x:c>
    </x:row>
    <x:row r="349">
      <x:c r="A349" s="1" t="str">
        <x:v>GR352</x:v>
      </x:c>
      <x:c r="B349" s="1" t="str">
        <x:v>PO0352</x:v>
      </x:c>
      <x:c r="C349" s="5" t="n">
        <x:v>46175</x:v>
      </x:c>
      <x:c r="D349" s="1" t="n">
        <x:v>183</x:v>
      </x:c>
    </x:row>
    <x:row r="350">
      <x:c r="A350" s="1" t="str">
        <x:v>GR353</x:v>
      </x:c>
      <x:c r="B350" s="1" t="str">
        <x:v>PO0353</x:v>
      </x:c>
      <x:c r="C350" s="5" t="n">
        <x:v>46168</x:v>
      </x:c>
      <x:c r="D350" s="1" t="n">
        <x:v>1643</x:v>
      </x:c>
    </x:row>
    <x:row r="351">
      <x:c r="A351" s="1" t="str">
        <x:v>GR354</x:v>
      </x:c>
      <x:c r="B351" s="1" t="str">
        <x:v>PO0354</x:v>
      </x:c>
      <x:c r="C351" s="5" t="n">
        <x:v>46214</x:v>
      </x:c>
      <x:c r="D351" s="1" t="n">
        <x:v>3044</x:v>
      </x:c>
    </x:row>
    <x:row r="352">
      <x:c r="A352" s="1" t="str">
        <x:v>GR356</x:v>
      </x:c>
      <x:c r="B352" s="1" t="str">
        <x:v>PO0356</x:v>
      </x:c>
      <x:c r="C352" s="5" t="n">
        <x:v>46168</x:v>
      </x:c>
      <x:c r="D352" s="1" t="n">
        <x:v>2490</x:v>
      </x:c>
    </x:row>
    <x:row r="353">
      <x:c r="A353" s="1" t="str">
        <x:v>GR357</x:v>
      </x:c>
      <x:c r="B353" s="1" t="str">
        <x:v>PO0357</x:v>
      </x:c>
      <x:c r="C353" s="5" t="n">
        <x:v>46070</x:v>
      </x:c>
      <x:c r="D353" s="1" t="n">
        <x:v>165</x:v>
      </x:c>
    </x:row>
    <x:row r="354">
      <x:c r="A354" s="1" t="str">
        <x:v>GR358</x:v>
      </x:c>
      <x:c r="B354" s="1" t="str">
        <x:v>PO0358</x:v>
      </x:c>
      <x:c r="C354" s="5" t="n">
        <x:v>46110</x:v>
      </x:c>
      <x:c r="D354" s="1" t="n">
        <x:v>3626</x:v>
      </x:c>
    </x:row>
    <x:row r="355">
      <x:c r="A355" s="1" t="str">
        <x:v>GR359</x:v>
      </x:c>
      <x:c r="B355" s="1" t="str">
        <x:v>PO0359</x:v>
      </x:c>
      <x:c r="C355" s="5" t="n">
        <x:v>46068</x:v>
      </x:c>
      <x:c r="D355" s="1" t="n">
        <x:v>4419</x:v>
      </x:c>
    </x:row>
    <x:row r="356">
      <x:c r="A356" s="1" t="str">
        <x:v>GR360</x:v>
      </x:c>
      <x:c r="B356" s="1" t="str">
        <x:v>PO0360</x:v>
      </x:c>
      <x:c r="C356" s="5" t="n">
        <x:v>46276</x:v>
      </x:c>
      <x:c r="D356" s="1" t="n">
        <x:v>149</x:v>
      </x:c>
    </x:row>
    <x:row r="357">
      <x:c r="A357" s="1" t="str">
        <x:v>GR361</x:v>
      </x:c>
      <x:c r="B357" s="1" t="str">
        <x:v>PO0361</x:v>
      </x:c>
      <x:c r="C357" s="5" t="n">
        <x:v>46093</x:v>
      </x:c>
      <x:c r="D357" s="1" t="n">
        <x:v>1830</x:v>
      </x:c>
    </x:row>
    <x:row r="358">
      <x:c r="A358" s="1" t="str">
        <x:v>GR362</x:v>
      </x:c>
      <x:c r="B358" s="1" t="str">
        <x:v>PO0362</x:v>
      </x:c>
      <x:c r="C358" s="5" t="n">
        <x:v>46050</x:v>
      </x:c>
      <x:c r="D358" s="1" t="n">
        <x:v>1959</x:v>
      </x:c>
    </x:row>
    <x:row r="359">
      <x:c r="A359" s="1" t="str">
        <x:v>GR363</x:v>
      </x:c>
      <x:c r="B359" s="1" t="str">
        <x:v>PO0363</x:v>
      </x:c>
      <x:c r="C359" s="5" t="n">
        <x:v>46096</x:v>
      </x:c>
      <x:c r="D359" s="1" t="n">
        <x:v>1688</x:v>
      </x:c>
    </x:row>
    <x:row r="360">
      <x:c r="A360" s="1" t="str">
        <x:v>GR364</x:v>
      </x:c>
      <x:c r="B360" s="1" t="str">
        <x:v>PO0364</x:v>
      </x:c>
      <x:c r="C360" s="5" t="n">
        <x:v>46215</x:v>
      </x:c>
      <x:c r="D360" s="1" t="n">
        <x:v>4388</x:v>
      </x:c>
    </x:row>
    <x:row r="361">
      <x:c r="A361" s="1" t="str">
        <x:v>GR365</x:v>
      </x:c>
      <x:c r="B361" s="1" t="str">
        <x:v>PO0365</x:v>
      </x:c>
      <x:c r="C361" s="5" t="n">
        <x:v>46200</x:v>
      </x:c>
      <x:c r="D361" s="1" t="n">
        <x:v>1400</x:v>
      </x:c>
    </x:row>
    <x:row r="362">
      <x:c r="A362" s="1" t="str">
        <x:v>GR366</x:v>
      </x:c>
      <x:c r="B362" s="1" t="str">
        <x:v>PO0366</x:v>
      </x:c>
      <x:c r="C362" s="5" t="n">
        <x:v>46141</x:v>
      </x:c>
      <x:c r="D362" s="1" t="n">
        <x:v>4318</x:v>
      </x:c>
    </x:row>
    <x:row r="363">
      <x:c r="A363" s="1" t="str">
        <x:v>GR367</x:v>
      </x:c>
      <x:c r="B363" s="1" t="str">
        <x:v>PO0367</x:v>
      </x:c>
      <x:c r="C363" s="5" t="n">
        <x:v>46261</x:v>
      </x:c>
      <x:c r="D363" s="1" t="n">
        <x:v>1501</x:v>
      </x:c>
    </x:row>
    <x:row r="364">
      <x:c r="A364" s="1" t="str">
        <x:v>GR368</x:v>
      </x:c>
      <x:c r="B364" s="1" t="str">
        <x:v>PO0368</x:v>
      </x:c>
      <x:c r="C364" s="5" t="n">
        <x:v>46272</x:v>
      </x:c>
      <x:c r="D364" s="1" t="n">
        <x:v>2001</x:v>
      </x:c>
    </x:row>
    <x:row r="365">
      <x:c r="A365" s="1" t="str">
        <x:v>GR369</x:v>
      </x:c>
      <x:c r="B365" s="1" t="str">
        <x:v>PO0369</x:v>
      </x:c>
      <x:c r="C365" s="5" t="n">
        <x:v>46288</x:v>
      </x:c>
      <x:c r="D365" s="1" t="n">
        <x:v>2962</x:v>
      </x:c>
    </x:row>
    <x:row r="366">
      <x:c r="A366" s="1" t="str">
        <x:v>GR370</x:v>
      </x:c>
      <x:c r="B366" s="1" t="str">
        <x:v>PO0370</x:v>
      </x:c>
      <x:c r="C366" s="5" t="n">
        <x:v>46137</x:v>
      </x:c>
      <x:c r="D366" s="1" t="n">
        <x:v>2008</x:v>
      </x:c>
    </x:row>
    <x:row r="367">
      <x:c r="A367" s="1" t="str">
        <x:v>GR371</x:v>
      </x:c>
      <x:c r="B367" s="1" t="str">
        <x:v>PO0371</x:v>
      </x:c>
      <x:c r="C367" s="5" t="n">
        <x:v>46154</x:v>
      </x:c>
      <x:c r="D367" s="1" t="n">
        <x:v>2752</x:v>
      </x:c>
    </x:row>
    <x:row r="368">
      <x:c r="A368" s="1" t="str">
        <x:v>GR372</x:v>
      </x:c>
      <x:c r="B368" s="1" t="str">
        <x:v>PO0372</x:v>
      </x:c>
      <x:c r="C368" s="5" t="n">
        <x:v>46197</x:v>
      </x:c>
      <x:c r="D368" s="1" t="n">
        <x:v>1651</x:v>
      </x:c>
    </x:row>
    <x:row r="369">
      <x:c r="A369" s="1" t="str">
        <x:v>GR373</x:v>
      </x:c>
      <x:c r="B369" s="1" t="str">
        <x:v>PO0373</x:v>
      </x:c>
      <x:c r="C369" s="5" t="n">
        <x:v>46089</x:v>
      </x:c>
      <x:c r="D369" s="1" t="n">
        <x:v>2808</x:v>
      </x:c>
    </x:row>
    <x:row r="370">
      <x:c r="A370" s="1" t="str">
        <x:v>GR374</x:v>
      </x:c>
      <x:c r="B370" s="1" t="str">
        <x:v>PO0374</x:v>
      </x:c>
      <x:c r="C370" s="5" t="n">
        <x:v>46051</x:v>
      </x:c>
      <x:c r="D370" s="1" t="n">
        <x:v>4491</x:v>
      </x:c>
    </x:row>
    <x:row r="371">
      <x:c r="A371" s="1" t="str">
        <x:v>GR375</x:v>
      </x:c>
      <x:c r="B371" s="1" t="str">
        <x:v>PO0375</x:v>
      </x:c>
      <x:c r="C371" s="5" t="n">
        <x:v>46194</x:v>
      </x:c>
      <x:c r="D371" s="1" t="n">
        <x:v>2602</x:v>
      </x:c>
    </x:row>
    <x:row r="372">
      <x:c r="A372" s="1" t="str">
        <x:v>GR376</x:v>
      </x:c>
      <x:c r="B372" s="1" t="str">
        <x:v>PO0376</x:v>
      </x:c>
      <x:c r="C372" s="5" t="n">
        <x:v>46186</x:v>
      </x:c>
      <x:c r="D372" s="1" t="n">
        <x:v>383</x:v>
      </x:c>
    </x:row>
    <x:row r="373">
      <x:c r="A373" s="1" t="str">
        <x:v>GR377</x:v>
      </x:c>
      <x:c r="B373" s="1" t="str">
        <x:v>PO0377</x:v>
      </x:c>
      <x:c r="C373" s="5" t="n">
        <x:v>46290</x:v>
      </x:c>
      <x:c r="D373" s="1" t="n">
        <x:v>587</x:v>
      </x:c>
    </x:row>
    <x:row r="374">
      <x:c r="A374" s="1" t="str">
        <x:v>GR378</x:v>
      </x:c>
      <x:c r="B374" s="1" t="str">
        <x:v>PO0378</x:v>
      </x:c>
      <x:c r="C374" s="5" t="n">
        <x:v>46209</x:v>
      </x:c>
      <x:c r="D374" s="1" t="n">
        <x:v>3138</x:v>
      </x:c>
    </x:row>
    <x:row r="375">
      <x:c r="A375" s="1" t="str">
        <x:v>GR380</x:v>
      </x:c>
      <x:c r="B375" s="1" t="str">
        <x:v>PO0380</x:v>
      </x:c>
      <x:c r="C375" s="5" t="n">
        <x:v>46075</x:v>
      </x:c>
      <x:c r="D375" s="1" t="n">
        <x:v>257</x:v>
      </x:c>
    </x:row>
    <x:row r="376">
      <x:c r="A376" s="1" t="str">
        <x:v>GR381</x:v>
      </x:c>
      <x:c r="B376" s="1" t="str">
        <x:v>PO0381</x:v>
      </x:c>
      <x:c r="C376" s="5" t="n">
        <x:v>46160</x:v>
      </x:c>
      <x:c r="D376" s="1" t="n">
        <x:v>3162</x:v>
      </x:c>
    </x:row>
    <x:row r="377">
      <x:c r="A377" s="1" t="str">
        <x:v>GR382</x:v>
      </x:c>
      <x:c r="B377" s="1" t="str">
        <x:v>PO0382</x:v>
      </x:c>
      <x:c r="C377" s="5" t="n">
        <x:v>46197</x:v>
      </x:c>
      <x:c r="D377" s="1" t="n">
        <x:v>2841</x:v>
      </x:c>
    </x:row>
    <x:row r="378">
      <x:c r="A378" s="1" t="str">
        <x:v>GR383</x:v>
      </x:c>
      <x:c r="B378" s="1" t="str">
        <x:v>PO0383</x:v>
      </x:c>
      <x:c r="C378" s="5" t="n">
        <x:v>46271</x:v>
      </x:c>
      <x:c r="D378" s="1" t="n">
        <x:v>3683</x:v>
      </x:c>
    </x:row>
    <x:row r="379">
      <x:c r="A379" s="1" t="str">
        <x:v>GR384</x:v>
      </x:c>
      <x:c r="B379" s="1" t="str">
        <x:v>PO0384</x:v>
      </x:c>
      <x:c r="C379" s="5" t="n">
        <x:v>46217</x:v>
      </x:c>
      <x:c r="D379" s="1" t="n">
        <x:v>2973</x:v>
      </x:c>
    </x:row>
    <x:row r="380">
      <x:c r="A380" s="1" t="str">
        <x:v>GR385</x:v>
      </x:c>
      <x:c r="B380" s="1" t="str">
        <x:v>PO0385</x:v>
      </x:c>
      <x:c r="C380" s="5" t="n">
        <x:v>46112</x:v>
      </x:c>
      <x:c r="D380" s="1" t="n">
        <x:v>853</x:v>
      </x:c>
    </x:row>
    <x:row r="381">
      <x:c r="A381" s="1" t="str">
        <x:v>GR386</x:v>
      </x:c>
      <x:c r="B381" s="1" t="str">
        <x:v>PO0386</x:v>
      </x:c>
      <x:c r="C381" s="5" t="n">
        <x:v>46158</x:v>
      </x:c>
      <x:c r="D381" s="1" t="n">
        <x:v>2505</x:v>
      </x:c>
    </x:row>
    <x:row r="382">
      <x:c r="A382" s="1" t="str">
        <x:v>GR387</x:v>
      </x:c>
      <x:c r="B382" s="1" t="str">
        <x:v>PO0387</x:v>
      </x:c>
      <x:c r="C382" s="5" t="n">
        <x:v>46226</x:v>
      </x:c>
      <x:c r="D382" s="1" t="n">
        <x:v>1670</x:v>
      </x:c>
    </x:row>
    <x:row r="383">
      <x:c r="A383" s="1" t="str">
        <x:v>GR388</x:v>
      </x:c>
      <x:c r="B383" s="1" t="str">
        <x:v>PO0388</x:v>
      </x:c>
      <x:c r="C383" s="5" t="n">
        <x:v>46288</x:v>
      </x:c>
      <x:c r="D383" s="1" t="n">
        <x:v>3556</x:v>
      </x:c>
    </x:row>
    <x:row r="384">
      <x:c r="A384" s="1" t="str">
        <x:v>GR389</x:v>
      </x:c>
      <x:c r="B384" s="1" t="str">
        <x:v>PO0389</x:v>
      </x:c>
      <x:c r="C384" s="5" t="n">
        <x:v>46152</x:v>
      </x:c>
      <x:c r="D384" s="1" t="n">
        <x:v>600</x:v>
      </x:c>
    </x:row>
    <x:row r="385">
      <x:c r="A385" s="1" t="str">
        <x:v>GR390</x:v>
      </x:c>
      <x:c r="B385" s="1" t="str">
        <x:v>PO0390</x:v>
      </x:c>
      <x:c r="C385" s="5" t="n">
        <x:v>46245</x:v>
      </x:c>
      <x:c r="D385" s="1" t="n">
        <x:v>259</x:v>
      </x:c>
    </x:row>
    <x:row r="386">
      <x:c r="A386" s="1" t="str">
        <x:v>GR391</x:v>
      </x:c>
      <x:c r="B386" s="1" t="str">
        <x:v>PO0391</x:v>
      </x:c>
      <x:c r="C386" s="5" t="n">
        <x:v>46273</x:v>
      </x:c>
      <x:c r="D386" s="1" t="n">
        <x:v>1221</x:v>
      </x:c>
    </x:row>
    <x:row r="387">
      <x:c r="A387" s="1" t="str">
        <x:v>GR392</x:v>
      </x:c>
      <x:c r="B387" s="1" t="str">
        <x:v>PO0392</x:v>
      </x:c>
      <x:c r="C387" s="5" t="n">
        <x:v>46281</x:v>
      </x:c>
      <x:c r="D387" s="1" t="n">
        <x:v>2640</x:v>
      </x:c>
    </x:row>
    <x:row r="388">
      <x:c r="A388" s="1" t="str">
        <x:v>GR393</x:v>
      </x:c>
      <x:c r="B388" s="1" t="str">
        <x:v>PO0393</x:v>
      </x:c>
      <x:c r="C388" s="5" t="n">
        <x:v>46179</x:v>
      </x:c>
      <x:c r="D388" s="1" t="n">
        <x:v>2474</x:v>
      </x:c>
    </x:row>
    <x:row r="389">
      <x:c r="A389" s="1" t="str">
        <x:v>GR394</x:v>
      </x:c>
      <x:c r="B389" s="1" t="str">
        <x:v>PO0394</x:v>
      </x:c>
      <x:c r="C389" s="5" t="n">
        <x:v>46081</x:v>
      </x:c>
      <x:c r="D389" s="1" t="n">
        <x:v>663</x:v>
      </x:c>
    </x:row>
    <x:row r="390">
      <x:c r="A390" s="1" t="str">
        <x:v>GR395</x:v>
      </x:c>
      <x:c r="B390" s="1" t="str">
        <x:v>PO0395</x:v>
      </x:c>
      <x:c r="C390" s="5" t="n">
        <x:v>46229</x:v>
      </x:c>
      <x:c r="D390" s="1" t="n">
        <x:v>1752</x:v>
      </x:c>
    </x:row>
    <x:row r="391">
      <x:c r="A391" s="1" t="str">
        <x:v>GR396</x:v>
      </x:c>
      <x:c r="B391" s="1" t="str">
        <x:v>PO0396</x:v>
      </x:c>
      <x:c r="C391" s="5" t="n">
        <x:v>46277</x:v>
      </x:c>
      <x:c r="D391" s="1" t="n">
        <x:v>491</x:v>
      </x:c>
    </x:row>
    <x:row r="392">
      <x:c r="A392" s="1" t="str">
        <x:v>GR397</x:v>
      </x:c>
      <x:c r="B392" s="1" t="str">
        <x:v>PO0397</x:v>
      </x:c>
      <x:c r="C392" s="5" t="n">
        <x:v>46183</x:v>
      </x:c>
      <x:c r="D392" s="1" t="n">
        <x:v>970</x:v>
      </x:c>
    </x:row>
    <x:row r="393">
      <x:c r="A393" s="1" t="str">
        <x:v>GR398</x:v>
      </x:c>
      <x:c r="B393" s="1" t="str">
        <x:v>PO0398</x:v>
      </x:c>
      <x:c r="C393" s="5" t="n">
        <x:v>46284</x:v>
      </x:c>
      <x:c r="D393" s="1" t="n">
        <x:v>470</x:v>
      </x:c>
    </x:row>
    <x:row r="394">
      <x:c r="A394" s="1" t="str">
        <x:v>GR399</x:v>
      </x:c>
      <x:c r="B394" s="1" t="str">
        <x:v>PO0399</x:v>
      </x:c>
      <x:c r="C394" s="5" t="n">
        <x:v>46250</x:v>
      </x:c>
      <x:c r="D394" s="1" t="n">
        <x:v>3129</x:v>
      </x:c>
    </x:row>
    <x:row r="395">
      <x:c r="A395" s="1" t="str">
        <x:v>GR401</x:v>
      </x:c>
      <x:c r="B395" s="1" t="str">
        <x:v>PO0401</x:v>
      </x:c>
      <x:c r="C395" s="5" t="n">
        <x:v>46106</x:v>
      </x:c>
      <x:c r="D395" s="1" t="n">
        <x:v>4948</x:v>
      </x:c>
    </x:row>
    <x:row r="396">
      <x:c r="A396" s="1" t="str">
        <x:v>GR402</x:v>
      </x:c>
      <x:c r="B396" s="1" t="str">
        <x:v>PO0402</x:v>
      </x:c>
      <x:c r="C396" s="5" t="n">
        <x:v>46133</x:v>
      </x:c>
      <x:c r="D396" s="1" t="n">
        <x:v>4857</x:v>
      </x:c>
    </x:row>
    <x:row r="397">
      <x:c r="A397" s="1" t="str">
        <x:v>GR403</x:v>
      </x:c>
      <x:c r="B397" s="1" t="str">
        <x:v>PO0403</x:v>
      </x:c>
      <x:c r="C397" s="5" t="n">
        <x:v>46175</x:v>
      </x:c>
      <x:c r="D397" s="1" t="n">
        <x:v>282</x:v>
      </x:c>
    </x:row>
    <x:row r="398">
      <x:c r="A398" s="1" t="str">
        <x:v>GR404</x:v>
      </x:c>
      <x:c r="B398" s="1" t="str">
        <x:v>PO0404</x:v>
      </x:c>
      <x:c r="C398" s="5" t="n">
        <x:v>46276</x:v>
      </x:c>
      <x:c r="D398" s="1" t="n">
        <x:v>2753</x:v>
      </x:c>
    </x:row>
    <x:row r="399">
      <x:c r="A399" s="1" t="str">
        <x:v>GR405</x:v>
      </x:c>
      <x:c r="B399" s="1" t="str">
        <x:v>PO0405</x:v>
      </x:c>
      <x:c r="C399" s="5" t="n">
        <x:v>46209</x:v>
      </x:c>
      <x:c r="D399" s="1" t="n">
        <x:v>3189</x:v>
      </x:c>
    </x:row>
    <x:row r="400">
      <x:c r="A400" s="1" t="str">
        <x:v>GR406</x:v>
      </x:c>
      <x:c r="B400" s="1" t="str">
        <x:v>PO0406</x:v>
      </x:c>
      <x:c r="C400" s="5" t="n">
        <x:v>46140</x:v>
      </x:c>
      <x:c r="D400" s="1" t="n">
        <x:v>698</x:v>
      </x:c>
    </x:row>
    <x:row r="401">
      <x:c r="A401" s="1" t="str">
        <x:v>GR407</x:v>
      </x:c>
      <x:c r="B401" s="1" t="str">
        <x:v>PO0407</x:v>
      </x:c>
      <x:c r="C401" s="5" t="n">
        <x:v>46130</x:v>
      </x:c>
      <x:c r="D401" s="1" t="n">
        <x:v>4184</x:v>
      </x:c>
    </x:row>
    <x:row r="402">
      <x:c r="A402" s="1" t="str">
        <x:v>GR408</x:v>
      </x:c>
      <x:c r="B402" s="1" t="str">
        <x:v>PO0408</x:v>
      </x:c>
      <x:c r="C402" s="5" t="n">
        <x:v>46139</x:v>
      </x:c>
      <x:c r="D402" s="1" t="n">
        <x:v>3669</x:v>
      </x:c>
    </x:row>
    <x:row r="403">
      <x:c r="A403" s="1" t="str">
        <x:v>GR409</x:v>
      </x:c>
      <x:c r="B403" s="1" t="str">
        <x:v>PO0409</x:v>
      </x:c>
      <x:c r="C403" s="5" t="n">
        <x:v>46193</x:v>
      </x:c>
      <x:c r="D403" s="1" t="n">
        <x:v>579</x:v>
      </x:c>
    </x:row>
    <x:row r="404">
      <x:c r="A404" s="1" t="str">
        <x:v>GR410</x:v>
      </x:c>
      <x:c r="B404" s="1" t="str">
        <x:v>PO0410</x:v>
      </x:c>
      <x:c r="C404" s="5" t="n">
        <x:v>46162</x:v>
      </x:c>
      <x:c r="D404" s="1" t="n">
        <x:v>1043</x:v>
      </x:c>
    </x:row>
    <x:row r="405">
      <x:c r="A405" s="1" t="str">
        <x:v>GR411</x:v>
      </x:c>
      <x:c r="B405" s="1" t="str">
        <x:v>PO0411</x:v>
      </x:c>
      <x:c r="C405" s="5" t="n">
        <x:v>46100</x:v>
      </x:c>
      <x:c r="D405" s="1" t="n">
        <x:v>2296</x:v>
      </x:c>
    </x:row>
    <x:row r="406">
      <x:c r="A406" s="1" t="str">
        <x:v>GR412</x:v>
      </x:c>
      <x:c r="B406" s="1" t="str">
        <x:v>PO0412</x:v>
      </x:c>
      <x:c r="C406" s="5" t="n">
        <x:v>46221</x:v>
      </x:c>
      <x:c r="D406" s="1" t="n">
        <x:v>1709</x:v>
      </x:c>
    </x:row>
    <x:row r="407">
      <x:c r="A407" s="1" t="str">
        <x:v>GR413</x:v>
      </x:c>
      <x:c r="B407" s="1" t="str">
        <x:v>PO0413</x:v>
      </x:c>
      <x:c r="C407" s="5" t="n">
        <x:v>46213</x:v>
      </x:c>
      <x:c r="D407" s="1" t="n">
        <x:v>4250</x:v>
      </x:c>
    </x:row>
    <x:row r="408">
      <x:c r="A408" s="1" t="str">
        <x:v>GR414</x:v>
      </x:c>
      <x:c r="B408" s="1" t="str">
        <x:v>PO0414</x:v>
      </x:c>
      <x:c r="C408" s="5" t="n">
        <x:v>46129</x:v>
      </x:c>
      <x:c r="D408" s="1" t="n">
        <x:v>2594</x:v>
      </x:c>
    </x:row>
    <x:row r="409">
      <x:c r="A409" s="1" t="str">
        <x:v>GR415</x:v>
      </x:c>
      <x:c r="B409" s="1" t="str">
        <x:v>PO0415</x:v>
      </x:c>
      <x:c r="C409" s="5" t="n">
        <x:v>46044</x:v>
      </x:c>
      <x:c r="D409" s="1" t="n">
        <x:v>3741</x:v>
      </x:c>
    </x:row>
    <x:row r="410">
      <x:c r="A410" s="1" t="str">
        <x:v>GR416</x:v>
      </x:c>
      <x:c r="B410" s="1" t="str">
        <x:v>PO0416</x:v>
      </x:c>
      <x:c r="C410" s="5" t="n">
        <x:v>46062</x:v>
      </x:c>
      <x:c r="D410" s="1" t="n">
        <x:v>1021</x:v>
      </x:c>
    </x:row>
    <x:row r="411">
      <x:c r="A411" s="1" t="str">
        <x:v>GR418</x:v>
      </x:c>
      <x:c r="B411" s="1" t="str">
        <x:v>PO0418</x:v>
      </x:c>
      <x:c r="C411" s="5" t="n">
        <x:v>46169</x:v>
      </x:c>
      <x:c r="D411" s="1" t="n">
        <x:v>1935</x:v>
      </x:c>
    </x:row>
    <x:row r="412">
      <x:c r="A412" s="1" t="str">
        <x:v>GR419</x:v>
      </x:c>
      <x:c r="B412" s="1" t="str">
        <x:v>PO0419</x:v>
      </x:c>
      <x:c r="C412" s="5" t="n">
        <x:v>46094</x:v>
      </x:c>
      <x:c r="D412" s="1" t="n">
        <x:v>1676</x:v>
      </x:c>
    </x:row>
    <x:row r="413">
      <x:c r="A413" s="1" t="str">
        <x:v>GR420</x:v>
      </x:c>
      <x:c r="B413" s="1" t="str">
        <x:v>PO0420</x:v>
      </x:c>
      <x:c r="C413" s="5" t="n">
        <x:v>46263</x:v>
      </x:c>
      <x:c r="D413" s="1" t="n">
        <x:v>1136</x:v>
      </x:c>
    </x:row>
    <x:row r="414">
      <x:c r="A414" s="1" t="str">
        <x:v>GR421</x:v>
      </x:c>
      <x:c r="B414" s="1" t="str">
        <x:v>PO0421</x:v>
      </x:c>
      <x:c r="C414" s="5" t="n">
        <x:v>46238</x:v>
      </x:c>
      <x:c r="D414" s="1" t="n">
        <x:v>1688</x:v>
      </x:c>
    </x:row>
    <x:row r="415">
      <x:c r="A415" s="1" t="str">
        <x:v>GR422</x:v>
      </x:c>
      <x:c r="B415" s="1" t="str">
        <x:v>PO0422</x:v>
      </x:c>
      <x:c r="C415" s="5" t="n">
        <x:v>46233</x:v>
      </x:c>
      <x:c r="D415" s="1" t="n">
        <x:v>2953</x:v>
      </x:c>
    </x:row>
    <x:row r="416">
      <x:c r="A416" s="1" t="str">
        <x:v>GR423</x:v>
      </x:c>
      <x:c r="B416" s="1" t="str">
        <x:v>PO0423</x:v>
      </x:c>
      <x:c r="C416" s="5" t="n">
        <x:v>46210</x:v>
      </x:c>
      <x:c r="D416" s="1" t="n">
        <x:v>1506</x:v>
      </x:c>
    </x:row>
    <x:row r="417">
      <x:c r="A417" s="1" t="str">
        <x:v>GR424</x:v>
      </x:c>
      <x:c r="B417" s="1" t="str">
        <x:v>PO0424</x:v>
      </x:c>
      <x:c r="C417" s="5" t="n">
        <x:v>46121</x:v>
      </x:c>
      <x:c r="D417" s="1" t="n">
        <x:v>2886</x:v>
      </x:c>
    </x:row>
    <x:row r="418">
      <x:c r="A418" s="1" t="str">
        <x:v>GR425</x:v>
      </x:c>
      <x:c r="B418" s="1" t="str">
        <x:v>PO0425</x:v>
      </x:c>
      <x:c r="C418" s="5" t="n">
        <x:v>46212</x:v>
      </x:c>
      <x:c r="D418" s="1" t="n">
        <x:v>1994</x:v>
      </x:c>
    </x:row>
    <x:row r="419">
      <x:c r="A419" s="1" t="str">
        <x:v>GR426</x:v>
      </x:c>
      <x:c r="B419" s="1" t="str">
        <x:v>PO0426</x:v>
      </x:c>
      <x:c r="C419" s="5" t="n">
        <x:v>46075</x:v>
      </x:c>
      <x:c r="D419" s="1" t="n">
        <x:v>2548</x:v>
      </x:c>
    </x:row>
    <x:row r="420">
      <x:c r="A420" s="1" t="str">
        <x:v>GR427</x:v>
      </x:c>
      <x:c r="B420" s="1" t="str">
        <x:v>PO0427</x:v>
      </x:c>
      <x:c r="C420" s="5" t="n">
        <x:v>46121</x:v>
      </x:c>
      <x:c r="D420" s="1" t="n">
        <x:v>2966</x:v>
      </x:c>
    </x:row>
    <x:row r="421">
      <x:c r="A421" s="1" t="str">
        <x:v>GR428</x:v>
      </x:c>
      <x:c r="B421" s="1" t="str">
        <x:v>PO0428</x:v>
      </x:c>
      <x:c r="C421" s="5" t="n">
        <x:v>46104</x:v>
      </x:c>
      <x:c r="D421" s="1" t="n">
        <x:v>1220</x:v>
      </x:c>
    </x:row>
    <x:row r="422">
      <x:c r="A422" s="1" t="str">
        <x:v>GR429</x:v>
      </x:c>
      <x:c r="B422" s="1" t="str">
        <x:v>PO0429</x:v>
      </x:c>
      <x:c r="C422" s="5" t="n">
        <x:v>46220</x:v>
      </x:c>
      <x:c r="D422" s="1" t="n">
        <x:v>2871</x:v>
      </x:c>
    </x:row>
    <x:row r="423">
      <x:c r="A423" s="1" t="str">
        <x:v>GR430</x:v>
      </x:c>
      <x:c r="B423" s="1" t="str">
        <x:v>PO0430</x:v>
      </x:c>
      <x:c r="C423" s="5" t="n">
        <x:v>46078</x:v>
      </x:c>
      <x:c r="D423" s="1" t="n">
        <x:v>4252</x:v>
      </x:c>
    </x:row>
    <x:row r="424">
      <x:c r="A424" s="1" t="str">
        <x:v>GR431</x:v>
      </x:c>
      <x:c r="B424" s="1" t="str">
        <x:v>PO0431</x:v>
      </x:c>
      <x:c r="C424" s="5" t="n">
        <x:v>46262</x:v>
      </x:c>
      <x:c r="D424" s="1" t="n">
        <x:v>4940</x:v>
      </x:c>
    </x:row>
    <x:row r="425">
      <x:c r="A425" s="1" t="str">
        <x:v>GR432</x:v>
      </x:c>
      <x:c r="B425" s="1" t="str">
        <x:v>PO0432</x:v>
      </x:c>
      <x:c r="C425" s="5" t="n">
        <x:v>46097</x:v>
      </x:c>
      <x:c r="D425" s="1" t="n">
        <x:v>4722</x:v>
      </x:c>
    </x:row>
    <x:row r="426">
      <x:c r="A426" s="1" t="str">
        <x:v>GR433</x:v>
      </x:c>
      <x:c r="B426" s="1" t="str">
        <x:v>PO0433</x:v>
      </x:c>
      <x:c r="C426" s="5" t="n">
        <x:v>46078</x:v>
      </x:c>
      <x:c r="D426" s="1" t="n">
        <x:v>302</x:v>
      </x:c>
    </x:row>
    <x:row r="427">
      <x:c r="A427" s="1" t="str">
        <x:v>GR434</x:v>
      </x:c>
      <x:c r="B427" s="1" t="str">
        <x:v>PO0434</x:v>
      </x:c>
      <x:c r="C427" s="5" t="n">
        <x:v>46038</x:v>
      </x:c>
      <x:c r="D427" s="1" t="n">
        <x:v>351</x:v>
      </x:c>
    </x:row>
    <x:row r="428">
      <x:c r="A428" s="1" t="str">
        <x:v>GR435</x:v>
      </x:c>
      <x:c r="B428" s="1" t="str">
        <x:v>PO0435</x:v>
      </x:c>
      <x:c r="C428" s="5" t="n">
        <x:v>46128</x:v>
      </x:c>
      <x:c r="D428" s="1" t="n">
        <x:v>324</x:v>
      </x:c>
    </x:row>
    <x:row r="429">
      <x:c r="A429" s="1" t="str">
        <x:v>GR436</x:v>
      </x:c>
      <x:c r="B429" s="1" t="str">
        <x:v>PO0436</x:v>
      </x:c>
      <x:c r="C429" s="5" t="n">
        <x:v>46176</x:v>
      </x:c>
      <x:c r="D429" s="1" t="n">
        <x:v>1805</x:v>
      </x:c>
    </x:row>
    <x:row r="430">
      <x:c r="A430" s="1" t="str">
        <x:v>GR437</x:v>
      </x:c>
      <x:c r="B430" s="1" t="str">
        <x:v>PO0437</x:v>
      </x:c>
      <x:c r="C430" s="5" t="n">
        <x:v>46242</x:v>
      </x:c>
      <x:c r="D430" s="1" t="n">
        <x:v>656</x:v>
      </x:c>
    </x:row>
    <x:row r="431">
      <x:c r="A431" s="1" t="str">
        <x:v>GR438</x:v>
      </x:c>
      <x:c r="B431" s="1" t="str">
        <x:v>PO0438</x:v>
      </x:c>
      <x:c r="C431" s="5" t="n">
        <x:v>46260</x:v>
      </x:c>
      <x:c r="D431" s="1" t="n">
        <x:v>1781</x:v>
      </x:c>
    </x:row>
    <x:row r="432">
      <x:c r="A432" s="1" t="str">
        <x:v>GR439</x:v>
      </x:c>
      <x:c r="B432" s="1" t="str">
        <x:v>PO0439</x:v>
      </x:c>
      <x:c r="C432" s="5" t="n">
        <x:v>46208</x:v>
      </x:c>
      <x:c r="D432" s="1" t="n">
        <x:v>1925</x:v>
      </x:c>
    </x:row>
    <x:row r="433">
      <x:c r="A433" s="1" t="str">
        <x:v>GR440</x:v>
      </x:c>
      <x:c r="B433" s="1" t="str">
        <x:v>PO0440</x:v>
      </x:c>
      <x:c r="C433" s="5" t="n">
        <x:v>46184</x:v>
      </x:c>
      <x:c r="D433" s="1" t="n">
        <x:v>769</x:v>
      </x:c>
    </x:row>
    <x:row r="434">
      <x:c r="A434" s="1" t="str">
        <x:v>GR441</x:v>
      </x:c>
      <x:c r="B434" s="1" t="str">
        <x:v>PO0441</x:v>
      </x:c>
      <x:c r="C434" s="5" t="n">
        <x:v>46135</x:v>
      </x:c>
      <x:c r="D434" s="1" t="n">
        <x:v>3408</x:v>
      </x:c>
    </x:row>
    <x:row r="435">
      <x:c r="A435" s="1" t="str">
        <x:v>GR442</x:v>
      </x:c>
      <x:c r="B435" s="1" t="str">
        <x:v>PO0442</x:v>
      </x:c>
      <x:c r="C435" s="5" t="n">
        <x:v>46274</x:v>
      </x:c>
      <x:c r="D435" s="1" t="n">
        <x:v>1765</x:v>
      </x:c>
    </x:row>
    <x:row r="436">
      <x:c r="A436" s="1" t="str">
        <x:v>GR443</x:v>
      </x:c>
      <x:c r="B436" s="1" t="str">
        <x:v>PO0443</x:v>
      </x:c>
      <x:c r="C436" s="5" t="n">
        <x:v>46192</x:v>
      </x:c>
      <x:c r="D436" s="1" t="n">
        <x:v>3752</x:v>
      </x:c>
    </x:row>
    <x:row r="437">
      <x:c r="A437" s="1" t="str">
        <x:v>GR444</x:v>
      </x:c>
      <x:c r="B437" s="1" t="str">
        <x:v>PO0444</x:v>
      </x:c>
      <x:c r="C437" s="5" t="n">
        <x:v>46079</x:v>
      </x:c>
      <x:c r="D437" s="1" t="n">
        <x:v>3965</x:v>
      </x:c>
    </x:row>
    <x:row r="438">
      <x:c r="A438" s="1" t="str">
        <x:v>GR445</x:v>
      </x:c>
      <x:c r="B438" s="1" t="str">
        <x:v>PO0445</x:v>
      </x:c>
      <x:c r="C438" s="5" t="n">
        <x:v>46185</x:v>
      </x:c>
      <x:c r="D438" s="1" t="n">
        <x:v>1050</x:v>
      </x:c>
    </x:row>
    <x:row r="439">
      <x:c r="A439" s="1" t="str">
        <x:v>GR446</x:v>
      </x:c>
      <x:c r="B439" s="1" t="str">
        <x:v>PO0446</x:v>
      </x:c>
      <x:c r="C439" s="5" t="n">
        <x:v>46086</x:v>
      </x:c>
      <x:c r="D439" s="1" t="n">
        <x:v>4320</x:v>
      </x:c>
    </x:row>
    <x:row r="440">
      <x:c r="A440" s="1" t="str">
        <x:v>GR447</x:v>
      </x:c>
      <x:c r="B440" s="1" t="str">
        <x:v>PO0447</x:v>
      </x:c>
      <x:c r="C440" s="5" t="n">
        <x:v>46127</x:v>
      </x:c>
      <x:c r="D440" s="1" t="n">
        <x:v>2030</x:v>
      </x:c>
    </x:row>
    <x:row r="441">
      <x:c r="A441" s="1" t="str">
        <x:v>GR448</x:v>
      </x:c>
      <x:c r="B441" s="1" t="str">
        <x:v>PO0448</x:v>
      </x:c>
      <x:c r="C441" s="5" t="n">
        <x:v>46171</x:v>
      </x:c>
      <x:c r="D441" s="1" t="n">
        <x:v>1616</x:v>
      </x:c>
    </x:row>
    <x:row r="442">
      <x:c r="A442" s="1" t="str">
        <x:v>GR449</x:v>
      </x:c>
      <x:c r="B442" s="1" t="str">
        <x:v>PO0449</x:v>
      </x:c>
      <x:c r="C442" s="5" t="n">
        <x:v>46208</x:v>
      </x:c>
      <x:c r="D442" s="1" t="n">
        <x:v>3432</x:v>
      </x:c>
    </x:row>
    <x:row r="443">
      <x:c r="A443" s="1" t="str">
        <x:v>GR450</x:v>
      </x:c>
      <x:c r="B443" s="1" t="str">
        <x:v>PO0450</x:v>
      </x:c>
      <x:c r="C443" s="5" t="n">
        <x:v>46097</x:v>
      </x:c>
      <x:c r="D443" s="1" t="n">
        <x:v>3126</x:v>
      </x:c>
    </x:row>
    <x:row r="444">
      <x:c r="A444" s="1" t="str">
        <x:v>GR451</x:v>
      </x:c>
      <x:c r="B444" s="1" t="str">
        <x:v>PO0451</x:v>
      </x:c>
      <x:c r="C444" s="5" t="n">
        <x:v>46221</x:v>
      </x:c>
      <x:c r="D444" s="1" t="n">
        <x:v>3067</x:v>
      </x:c>
    </x:row>
    <x:row r="445">
      <x:c r="A445" s="1" t="str">
        <x:v>GR452</x:v>
      </x:c>
      <x:c r="B445" s="1" t="str">
        <x:v>PO0452</x:v>
      </x:c>
      <x:c r="C445" s="5" t="n">
        <x:v>46285</x:v>
      </x:c>
      <x:c r="D445" s="1" t="n">
        <x:v>921</x:v>
      </x:c>
    </x:row>
    <x:row r="446">
      <x:c r="A446" s="1" t="str">
        <x:v>GR453</x:v>
      </x:c>
      <x:c r="B446" s="1" t="str">
        <x:v>PO0453</x:v>
      </x:c>
      <x:c r="C446" s="5" t="n">
        <x:v>46061</x:v>
      </x:c>
      <x:c r="D446" s="1" t="n">
        <x:v>2408</x:v>
      </x:c>
    </x:row>
    <x:row r="447">
      <x:c r="A447" s="1" t="str">
        <x:v>GR454</x:v>
      </x:c>
      <x:c r="B447" s="1" t="str">
        <x:v>PO0454</x:v>
      </x:c>
      <x:c r="C447" s="5" t="n">
        <x:v>46076</x:v>
      </x:c>
      <x:c r="D447" s="1" t="n">
        <x:v>4943</x:v>
      </x:c>
    </x:row>
    <x:row r="448">
      <x:c r="A448" s="1" t="str">
        <x:v>GR455</x:v>
      </x:c>
      <x:c r="B448" s="1" t="str">
        <x:v>PO0455</x:v>
      </x:c>
      <x:c r="C448" s="5" t="n">
        <x:v>46264</x:v>
      </x:c>
      <x:c r="D448" s="1" t="n">
        <x:v>939</x:v>
      </x:c>
    </x:row>
    <x:row r="449">
      <x:c r="A449" s="1" t="str">
        <x:v>GR456</x:v>
      </x:c>
      <x:c r="B449" s="1" t="str">
        <x:v>PO0456</x:v>
      </x:c>
      <x:c r="C449" s="5" t="n">
        <x:v>46240</x:v>
      </x:c>
      <x:c r="D449" s="1" t="n">
        <x:v>644</x:v>
      </x:c>
    </x:row>
    <x:row r="450">
      <x:c r="A450" s="1" t="str">
        <x:v>GR457</x:v>
      </x:c>
      <x:c r="B450" s="1" t="str">
        <x:v>PO0457</x:v>
      </x:c>
      <x:c r="C450" s="5" t="n">
        <x:v>46193</x:v>
      </x:c>
      <x:c r="D450" s="1" t="n">
        <x:v>2974</x:v>
      </x:c>
    </x:row>
    <x:row r="451">
      <x:c r="A451" s="1" t="str">
        <x:v>GR458</x:v>
      </x:c>
      <x:c r="B451" s="1" t="str">
        <x:v>PO0458</x:v>
      </x:c>
      <x:c r="C451" s="5" t="n">
        <x:v>46170</x:v>
      </x:c>
      <x:c r="D451" s="1" t="n">
        <x:v>4581</x:v>
      </x:c>
    </x:row>
    <x:row r="452">
      <x:c r="A452" s="1" t="str">
        <x:v>GR459</x:v>
      </x:c>
      <x:c r="B452" s="1" t="str">
        <x:v>PO0459</x:v>
      </x:c>
      <x:c r="C452" s="5" t="n">
        <x:v>46103</x:v>
      </x:c>
      <x:c r="D452" s="1" t="n">
        <x:v>1867</x:v>
      </x:c>
    </x:row>
    <x:row r="453">
      <x:c r="A453" s="1" t="str">
        <x:v>GR460</x:v>
      </x:c>
      <x:c r="B453" s="1" t="str">
        <x:v>PO0460</x:v>
      </x:c>
      <x:c r="C453" s="5" t="n">
        <x:v>46075</x:v>
      </x:c>
      <x:c r="D453" s="1" t="n">
        <x:v>2435</x:v>
      </x:c>
    </x:row>
    <x:row r="454">
      <x:c r="A454" s="1" t="str">
        <x:v>GR461</x:v>
      </x:c>
      <x:c r="B454" s="1" t="str">
        <x:v>PO0461</x:v>
      </x:c>
      <x:c r="C454" s="5" t="n">
        <x:v>46230</x:v>
      </x:c>
      <x:c r="D454" s="1" t="n">
        <x:v>4436</x:v>
      </x:c>
    </x:row>
    <x:row r="455">
      <x:c r="A455" s="1" t="str">
        <x:v>GR462</x:v>
      </x:c>
      <x:c r="B455" s="1" t="str">
        <x:v>PO0462</x:v>
      </x:c>
      <x:c r="C455" s="5" t="n">
        <x:v>46269</x:v>
      </x:c>
      <x:c r="D455" s="1" t="n">
        <x:v>2534</x:v>
      </x:c>
    </x:row>
    <x:row r="456">
      <x:c r="A456" s="1" t="str">
        <x:v>GR463</x:v>
      </x:c>
      <x:c r="B456" s="1" t="str">
        <x:v>PO0463</x:v>
      </x:c>
      <x:c r="C456" s="5" t="n">
        <x:v>46196</x:v>
      </x:c>
      <x:c r="D456" s="1" t="n">
        <x:v>2455</x:v>
      </x:c>
    </x:row>
    <x:row r="457">
      <x:c r="A457" s="1" t="str">
        <x:v>GR464</x:v>
      </x:c>
      <x:c r="B457" s="1" t="str">
        <x:v>PO0464</x:v>
      </x:c>
      <x:c r="C457" s="5" t="n">
        <x:v>46188</x:v>
      </x:c>
      <x:c r="D457" s="1" t="n">
        <x:v>3609</x:v>
      </x:c>
    </x:row>
    <x:row r="458">
      <x:c r="A458" s="1" t="str">
        <x:v>GR465</x:v>
      </x:c>
      <x:c r="B458" s="1" t="str">
        <x:v>PO0465</x:v>
      </x:c>
      <x:c r="C458" s="5" t="n">
        <x:v>46154</x:v>
      </x:c>
      <x:c r="D458" s="1" t="n">
        <x:v>3785</x:v>
      </x:c>
    </x:row>
    <x:row r="459">
      <x:c r="A459" s="1" t="str">
        <x:v>GR466</x:v>
      </x:c>
      <x:c r="B459" s="1" t="str">
        <x:v>PO0466</x:v>
      </x:c>
      <x:c r="C459" s="5" t="n">
        <x:v>46074</x:v>
      </x:c>
      <x:c r="D459" s="1" t="n">
        <x:v>3627</x:v>
      </x:c>
    </x:row>
    <x:row r="460">
      <x:c r="A460" s="1" t="str">
        <x:v>GR467</x:v>
      </x:c>
      <x:c r="B460" s="1" t="str">
        <x:v>PO0467</x:v>
      </x:c>
      <x:c r="C460" s="5" t="n">
        <x:v>46112</x:v>
      </x:c>
      <x:c r="D460" s="1" t="n">
        <x:v>449</x:v>
      </x:c>
    </x:row>
    <x:row r="461">
      <x:c r="A461" s="1" t="str">
        <x:v>GR468</x:v>
      </x:c>
      <x:c r="B461" s="1" t="str">
        <x:v>PO0468</x:v>
      </x:c>
      <x:c r="C461" s="5" t="n">
        <x:v>46068</x:v>
      </x:c>
      <x:c r="D461" s="1" t="n">
        <x:v>102</x:v>
      </x:c>
    </x:row>
    <x:row r="462">
      <x:c r="A462" s="1" t="str">
        <x:v>GR469</x:v>
      </x:c>
      <x:c r="B462" s="1" t="str">
        <x:v>PO0469</x:v>
      </x:c>
      <x:c r="C462" s="5" t="n">
        <x:v>46272</x:v>
      </x:c>
      <x:c r="D462" s="1" t="n">
        <x:v>1735</x:v>
      </x:c>
    </x:row>
    <x:row r="463">
      <x:c r="A463" s="1" t="str">
        <x:v>GR470</x:v>
      </x:c>
      <x:c r="B463" s="1" t="str">
        <x:v>PO0470</x:v>
      </x:c>
      <x:c r="C463" s="5" t="n">
        <x:v>46056</x:v>
      </x:c>
      <x:c r="D463" s="1" t="n">
        <x:v>174</x:v>
      </x:c>
    </x:row>
    <x:row r="464">
      <x:c r="A464" s="1" t="str">
        <x:v>GR471</x:v>
      </x:c>
      <x:c r="B464" s="1" t="str">
        <x:v>PO0471</x:v>
      </x:c>
      <x:c r="C464" s="5" t="n">
        <x:v>46136</x:v>
      </x:c>
      <x:c r="D464" s="1" t="n">
        <x:v>2256</x:v>
      </x:c>
    </x:row>
    <x:row r="465">
      <x:c r="A465" s="1" t="str">
        <x:v>GR472</x:v>
      </x:c>
      <x:c r="B465" s="1" t="str">
        <x:v>PO0472</x:v>
      </x:c>
      <x:c r="C465" s="5" t="n">
        <x:v>46090</x:v>
      </x:c>
      <x:c r="D465" s="1" t="n">
        <x:v>998</x:v>
      </x:c>
    </x:row>
    <x:row r="466">
      <x:c r="A466" s="1" t="str">
        <x:v>GR473</x:v>
      </x:c>
      <x:c r="B466" s="1" t="str">
        <x:v>PO0473</x:v>
      </x:c>
      <x:c r="C466" s="5" t="n">
        <x:v>46241</x:v>
      </x:c>
      <x:c r="D466" s="1" t="n">
        <x:v>1443</x:v>
      </x:c>
    </x:row>
    <x:row r="467">
      <x:c r="A467" s="1" t="str">
        <x:v>GR474</x:v>
      </x:c>
      <x:c r="B467" s="1" t="str">
        <x:v>PO0474</x:v>
      </x:c>
      <x:c r="C467" s="5" t="n">
        <x:v>46280</x:v>
      </x:c>
      <x:c r="D467" s="1" t="n">
        <x:v>2359</x:v>
      </x:c>
    </x:row>
    <x:row r="468">
      <x:c r="A468" s="1" t="str">
        <x:v>GR475</x:v>
      </x:c>
      <x:c r="B468" s="1" t="str">
        <x:v>PO0475</x:v>
      </x:c>
      <x:c r="C468" s="5" t="n">
        <x:v>46154</x:v>
      </x:c>
      <x:c r="D468" s="1" t="n">
        <x:v>944</x:v>
      </x:c>
    </x:row>
    <x:row r="469">
      <x:c r="A469" s="1" t="str">
        <x:v>GR476</x:v>
      </x:c>
      <x:c r="B469" s="1" t="str">
        <x:v>PO0476</x:v>
      </x:c>
      <x:c r="C469" s="5" t="n">
        <x:v>46197</x:v>
      </x:c>
      <x:c r="D469" s="1" t="n">
        <x:v>3405</x:v>
      </x:c>
    </x:row>
    <x:row r="470">
      <x:c r="A470" s="1" t="str">
        <x:v>GR477</x:v>
      </x:c>
      <x:c r="B470" s="1" t="str">
        <x:v>PO0477</x:v>
      </x:c>
      <x:c r="C470" s="5" t="n">
        <x:v>46236</x:v>
      </x:c>
      <x:c r="D470" s="1" t="n">
        <x:v>1847</x:v>
      </x:c>
    </x:row>
    <x:row r="471">
      <x:c r="A471" s="1" t="str">
        <x:v>GR478</x:v>
      </x:c>
      <x:c r="B471" s="1" t="str">
        <x:v>PO0478</x:v>
      </x:c>
      <x:c r="C471" s="5" t="n">
        <x:v>46154</x:v>
      </x:c>
      <x:c r="D471" s="1" t="n">
        <x:v>4034</x:v>
      </x:c>
    </x:row>
    <x:row r="472">
      <x:c r="A472" s="1" t="str">
        <x:v>GR479</x:v>
      </x:c>
      <x:c r="B472" s="1" t="str">
        <x:v>PO0479</x:v>
      </x:c>
      <x:c r="C472" s="5" t="n">
        <x:v>46080</x:v>
      </x:c>
      <x:c r="D472" s="1" t="n">
        <x:v>4300</x:v>
      </x:c>
    </x:row>
    <x:row r="473">
      <x:c r="A473" s="1" t="str">
        <x:v>GR481</x:v>
      </x:c>
      <x:c r="B473" s="1" t="str">
        <x:v>PO0481</x:v>
      </x:c>
      <x:c r="C473" s="5" t="n">
        <x:v>46234</x:v>
      </x:c>
      <x:c r="D473" s="1" t="n">
        <x:v>3904</x:v>
      </x:c>
    </x:row>
    <x:row r="474">
      <x:c r="A474" s="1" t="str">
        <x:v>GR482</x:v>
      </x:c>
      <x:c r="B474" s="1" t="str">
        <x:v>PO0482</x:v>
      </x:c>
      <x:c r="C474" s="5" t="n">
        <x:v>46236</x:v>
      </x:c>
      <x:c r="D474" s="1" t="n">
        <x:v>102</x:v>
      </x:c>
    </x:row>
    <x:row r="475">
      <x:c r="A475" s="1" t="str">
        <x:v>GR483</x:v>
      </x:c>
      <x:c r="B475" s="1" t="str">
        <x:v>PO0483</x:v>
      </x:c>
      <x:c r="C475" s="5" t="n">
        <x:v>46087</x:v>
      </x:c>
      <x:c r="D475" s="1" t="n">
        <x:v>1889</x:v>
      </x:c>
    </x:row>
    <x:row r="476">
      <x:c r="A476" s="1" t="str">
        <x:v>GR484</x:v>
      </x:c>
      <x:c r="B476" s="1" t="str">
        <x:v>PO0484</x:v>
      </x:c>
      <x:c r="C476" s="5" t="n">
        <x:v>46231</x:v>
      </x:c>
      <x:c r="D476" s="1" t="n">
        <x:v>3639</x:v>
      </x:c>
    </x:row>
    <x:row r="477">
      <x:c r="A477" s="1" t="str">
        <x:v>GR485</x:v>
      </x:c>
      <x:c r="B477" s="1" t="str">
        <x:v>PO0485</x:v>
      </x:c>
      <x:c r="C477" s="5" t="n">
        <x:v>46157</x:v>
      </x:c>
      <x:c r="D477" s="1" t="n">
        <x:v>2278</x:v>
      </x:c>
    </x:row>
    <x:row r="478">
      <x:c r="A478" s="1" t="str">
        <x:v>GR486</x:v>
      </x:c>
      <x:c r="B478" s="1" t="str">
        <x:v>PO0486</x:v>
      </x:c>
      <x:c r="C478" s="5" t="n">
        <x:v>46246</x:v>
      </x:c>
      <x:c r="D478" s="1" t="n">
        <x:v>4166</x:v>
      </x:c>
    </x:row>
    <x:row r="479">
      <x:c r="A479" s="1" t="str">
        <x:v>GR487</x:v>
      </x:c>
      <x:c r="B479" s="1" t="str">
        <x:v>PO0487</x:v>
      </x:c>
      <x:c r="C479" s="5" t="n">
        <x:v>46292</x:v>
      </x:c>
      <x:c r="D479" s="1" t="n">
        <x:v>2766</x:v>
      </x:c>
    </x:row>
    <x:row r="480">
      <x:c r="A480" s="1" t="str">
        <x:v>GR488</x:v>
      </x:c>
      <x:c r="B480" s="1" t="str">
        <x:v>PO0488</x:v>
      </x:c>
      <x:c r="C480" s="5" t="n">
        <x:v>46274</x:v>
      </x:c>
      <x:c r="D480" s="1" t="n">
        <x:v>4315</x:v>
      </x:c>
    </x:row>
    <x:row r="481">
      <x:c r="A481" s="1" t="str">
        <x:v>GR489</x:v>
      </x:c>
      <x:c r="B481" s="1" t="str">
        <x:v>PO0489</x:v>
      </x:c>
      <x:c r="C481" s="5" t="n">
        <x:v>46078</x:v>
      </x:c>
      <x:c r="D481" s="1" t="n">
        <x:v>797</x:v>
      </x:c>
    </x:row>
    <x:row r="482">
      <x:c r="A482" s="1" t="str">
        <x:v>GR490</x:v>
      </x:c>
      <x:c r="B482" s="1" t="str">
        <x:v>PO0490</x:v>
      </x:c>
      <x:c r="C482" s="5" t="n">
        <x:v>46129</x:v>
      </x:c>
      <x:c r="D482" s="1" t="n">
        <x:v>3953</x:v>
      </x:c>
    </x:row>
    <x:row r="483">
      <x:c r="A483" s="1" t="str">
        <x:v>GR491</x:v>
      </x:c>
      <x:c r="B483" s="1" t="str">
        <x:v>PO0491</x:v>
      </x:c>
      <x:c r="C483" s="5" t="n">
        <x:v>46156</x:v>
      </x:c>
      <x:c r="D483" s="1" t="n">
        <x:v>297</x:v>
      </x:c>
    </x:row>
    <x:row r="484">
      <x:c r="A484" s="1" t="str">
        <x:v>GR492</x:v>
      </x:c>
      <x:c r="B484" s="1" t="str">
        <x:v>PO0492</x:v>
      </x:c>
      <x:c r="C484" s="5" t="n">
        <x:v>46151</x:v>
      </x:c>
      <x:c r="D484" s="1" t="n">
        <x:v>2872</x:v>
      </x:c>
    </x:row>
    <x:row r="485">
      <x:c r="A485" s="1" t="str">
        <x:v>GR493</x:v>
      </x:c>
      <x:c r="B485" s="1" t="str">
        <x:v>PO0493</x:v>
      </x:c>
      <x:c r="C485" s="5" t="n">
        <x:v>46206</x:v>
      </x:c>
      <x:c r="D485" s="1" t="n">
        <x:v>1794</x:v>
      </x:c>
    </x:row>
    <x:row r="486">
      <x:c r="A486" s="1" t="str">
        <x:v>GR494</x:v>
      </x:c>
      <x:c r="B486" s="1" t="str">
        <x:v>PO0494</x:v>
      </x:c>
      <x:c r="C486" s="5" t="n">
        <x:v>46130</x:v>
      </x:c>
      <x:c r="D486" s="1" t="n">
        <x:v>987</x:v>
      </x:c>
    </x:row>
    <x:row r="487">
      <x:c r="A487" s="1" t="str">
        <x:v>GR495</x:v>
      </x:c>
      <x:c r="B487" s="1" t="str">
        <x:v>PO0495</x:v>
      </x:c>
      <x:c r="C487" s="5" t="n">
        <x:v>46263</x:v>
      </x:c>
      <x:c r="D487" s="1" t="n">
        <x:v>139</x:v>
      </x:c>
    </x:row>
    <x:row r="488">
      <x:c r="A488" s="1" t="str">
        <x:v>GR497</x:v>
      </x:c>
      <x:c r="B488" s="1" t="str">
        <x:v>PO0497</x:v>
      </x:c>
      <x:c r="C488" s="5" t="n">
        <x:v>46105</x:v>
      </x:c>
      <x:c r="D488" s="1" t="n">
        <x:v>1838</x:v>
      </x:c>
    </x:row>
    <x:row r="489">
      <x:c r="A489" s="1" t="str">
        <x:v>GR498</x:v>
      </x:c>
      <x:c r="B489" s="1" t="str">
        <x:v>PO0498</x:v>
      </x:c>
      <x:c r="C489" s="5" t="n">
        <x:v>46270</x:v>
      </x:c>
      <x:c r="D489" s="1" t="n">
        <x:v>4377</x:v>
      </x:c>
    </x:row>
    <x:row r="490">
      <x:c r="A490" s="1" t="str">
        <x:v>GR499</x:v>
      </x:c>
      <x:c r="B490" s="1" t="str">
        <x:v>PO0499</x:v>
      </x:c>
      <x:c r="C490" s="5" t="n">
        <x:v>46154</x:v>
      </x:c>
      <x:c r="D490" s="1" t="n">
        <x:v>3979</x:v>
      </x:c>
    </x:row>
    <x:row r="491">
      <x:c r="A491" s="1" t="str">
        <x:v>GR500</x:v>
      </x:c>
      <x:c r="B491" s="1" t="str">
        <x:v>PO0500</x:v>
      </x:c>
      <x:c r="C491" s="5" t="n">
        <x:v>46074</x:v>
      </x:c>
      <x:c r="D491" s="1" t="n">
        <x:v>3508</x:v>
      </x:c>
    </x:row>
  </x:sheetData>
  <x:pageMargins left="0.7" right="0.7" top="0.75" bottom="0.75" header="0.3" footer="0.3"/>
  <x:tableParts count="1">
    <x:tablePart xmlns:r="http://schemas.openxmlformats.org/officeDocument/2006/relationships" r:id="R9d473ed2f00f4a3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4" t="str">
        <x:v>Invoice_ID</x:v>
      </x:c>
      <x:c r="B1" s="4" t="str">
        <x:v>PO_ID</x:v>
      </x:c>
      <x:c r="C1" s="4" t="str">
        <x:v>InvoiceDate</x:v>
      </x:c>
      <x:c r="D1" s="4" t="str">
        <x:v>DueDate</x:v>
      </x:c>
      <x:c r="E1" s="4" t="str">
        <x:v>InvoiceQty</x:v>
      </x:c>
      <x:c r="F1" s="4" t="str">
        <x:v>InvoiceUnitPriceUSD</x:v>
      </x:c>
      <x:c r="G1" s="4" t="str">
        <x:v>ExceptionType</x:v>
      </x:c>
      <x:c r="H1" s="4" t="str">
        <x:v>ClearanceDate</x:v>
      </x:c>
      <x:c r="I1" s="4" t="str">
        <x:v>PaymentDate</x:v>
      </x:c>
      <x:c r="J1" s="8" t="str">
        <x:v>InvoiceValueUSD</x:v>
      </x:c>
    </x:row>
    <x:row r="2">
      <x:c r="A2" s="1" t="str">
        <x:v>INV1</x:v>
      </x:c>
      <x:c r="B2" s="1" t="str">
        <x:v>PO0001</x:v>
      </x:c>
      <x:c r="C2" s="5" t="n">
        <x:v>46232</x:v>
      </x:c>
      <x:c r="D2" s="5" t="n">
        <x:v>46262</x:v>
      </x:c>
      <x:c r="E2" s="1" t="n">
        <x:v>1268</x:v>
      </x:c>
      <x:c r="F2" s="6" t="n">
        <x:v>20.44</x:v>
      </x:c>
      <x:c r="G2" s="1" t="str">
        <x:v>None</x:v>
      </x:c>
      <x:c r="H2" s="5" t="n">
        <x:v>46232</x:v>
      </x:c>
      <x:c r="I2" s="5" t="n">
        <x:v>46265</x:v>
      </x:c>
      <x:c r="J2" s="10" t="n">
        <x:f>E2*F2</x:f>
        <x:v>25917.920000000002</x:v>
      </x:c>
    </x:row>
    <x:row r="3">
      <x:c r="A3" s="1" t="str">
        <x:v>INV2</x:v>
      </x:c>
      <x:c r="B3" s="1" t="str">
        <x:v>PO0002</x:v>
      </x:c>
      <x:c r="C3" s="5" t="n">
        <x:v>46179</x:v>
      </x:c>
      <x:c r="D3" s="5" t="n">
        <x:v>46209</x:v>
      </x:c>
      <x:c r="E3" s="1" t="n">
        <x:v>4510</x:v>
      </x:c>
      <x:c r="F3" s="6" t="n">
        <x:v>15.69</x:v>
      </x:c>
      <x:c r="G3" s="1" t="str">
        <x:v>None</x:v>
      </x:c>
      <x:c r="H3" s="5" t="n">
        <x:v>46179</x:v>
      </x:c>
      <x:c r="I3" s="5" t="n">
        <x:v>46207</x:v>
      </x:c>
      <x:c r="J3" s="10" t="n">
        <x:f>E3*F3</x:f>
        <x:v>70761.9</x:v>
      </x:c>
    </x:row>
    <x:row r="4">
      <x:c r="A4" s="1" t="str">
        <x:v>INV3</x:v>
      </x:c>
      <x:c r="B4" s="1" t="str">
        <x:v>PO0003</x:v>
      </x:c>
      <x:c r="C4" s="5" t="n">
        <x:v>46290</x:v>
      </x:c>
      <x:c r="D4" s="5" t="n">
        <x:v>46350</x:v>
      </x:c>
      <x:c r="E4" s="1" t="n">
        <x:v>3426</x:v>
      </x:c>
      <x:c r="F4" s="6" t="n">
        <x:v>4.4</x:v>
      </x:c>
      <x:c r="G4" s="1" t="str">
        <x:v>Missing documentation</x:v>
      </x:c>
      <x:c r="H4" s="5"/>
      <x:c r="I4" s="5"/>
      <x:c r="J4" s="10" t="n">
        <x:f>E4*F4</x:f>
        <x:v>15074.400000000001</x:v>
      </x:c>
    </x:row>
    <x:row r="5">
      <x:c r="A5" s="1" t="str">
        <x:v>INV4</x:v>
      </x:c>
      <x:c r="B5" s="1" t="str">
        <x:v>PO0004</x:v>
      </x:c>
      <x:c r="C5" s="5" t="n">
        <x:v>46291</x:v>
      </x:c>
      <x:c r="D5" s="5" t="n">
        <x:v>46321</x:v>
      </x:c>
      <x:c r="E5" s="1" t="n">
        <x:v>4888</x:v>
      </x:c>
      <x:c r="F5" s="6" t="n">
        <x:v>3.57</x:v>
      </x:c>
      <x:c r="G5" s="1" t="str">
        <x:v>None</x:v>
      </x:c>
      <x:c r="H5" s="5" t="n">
        <x:v>46291</x:v>
      </x:c>
      <x:c r="I5" s="5"/>
      <x:c r="J5" s="10" t="n">
        <x:f>E5*F5</x:f>
        <x:v>17450.16</x:v>
      </x:c>
    </x:row>
    <x:row r="6">
      <x:c r="A6" s="1" t="str">
        <x:v>INV5</x:v>
      </x:c>
      <x:c r="B6" s="1" t="str">
        <x:v>PO0005</x:v>
      </x:c>
      <x:c r="C6" s="5" t="n">
        <x:v>46202</x:v>
      </x:c>
      <x:c r="D6" s="5" t="n">
        <x:v>46232</x:v>
      </x:c>
      <x:c r="E6" s="1" t="n">
        <x:v>881</x:v>
      </x:c>
      <x:c r="F6" s="6" t="n">
        <x:v>18.39</x:v>
      </x:c>
      <x:c r="G6" s="1" t="str">
        <x:v>Price mismatch</x:v>
      </x:c>
      <x:c r="H6" s="5" t="n">
        <x:v>46209</x:v>
      </x:c>
      <x:c r="I6" s="5" t="n">
        <x:v>46234</x:v>
      </x:c>
      <x:c r="J6" s="10" t="n">
        <x:f>E6*F6</x:f>
        <x:v>16201.59</x:v>
      </x:c>
    </x:row>
    <x:row r="7">
      <x:c r="A7" s="1" t="str">
        <x:v>INV6</x:v>
      </x:c>
      <x:c r="B7" s="1" t="str">
        <x:v>PO0006</x:v>
      </x:c>
      <x:c r="C7" s="5" t="n">
        <x:v>46160</x:v>
      </x:c>
      <x:c r="D7" s="5" t="n">
        <x:v>46190</x:v>
      </x:c>
      <x:c r="E7" s="1" t="n">
        <x:v>4874</x:v>
      </x:c>
      <x:c r="F7" s="6" t="n">
        <x:v>9.9</x:v>
      </x:c>
      <x:c r="G7" s="1" t="str">
        <x:v>Price mismatch</x:v>
      </x:c>
      <x:c r="H7" s="5" t="n">
        <x:v>46164</x:v>
      </x:c>
      <x:c r="I7" s="5" t="n">
        <x:v>46188</x:v>
      </x:c>
      <x:c r="J7" s="10" t="n">
        <x:f>E7*F7</x:f>
        <x:v>48252.6</x:v>
      </x:c>
    </x:row>
    <x:row r="8">
      <x:c r="A8" s="1" t="str">
        <x:v>INV7</x:v>
      </x:c>
      <x:c r="B8" s="1" t="str">
        <x:v>PO0007</x:v>
      </x:c>
      <x:c r="C8" s="5" t="n">
        <x:v>46288</x:v>
      </x:c>
      <x:c r="D8" s="5" t="n">
        <x:v>46348</x:v>
      </x:c>
      <x:c r="E8" s="1" t="n">
        <x:v>587</x:v>
      </x:c>
      <x:c r="F8" s="6" t="n">
        <x:v>5.13</x:v>
      </x:c>
      <x:c r="G8" s="1" t="str">
        <x:v>None</x:v>
      </x:c>
      <x:c r="H8" s="5" t="n">
        <x:v>46288</x:v>
      </x:c>
      <x:c r="I8" s="5"/>
      <x:c r="J8" s="10" t="n">
        <x:f>E8*F8</x:f>
        <x:v>3011.31</x:v>
      </x:c>
    </x:row>
    <x:row r="9">
      <x:c r="A9" s="1" t="str">
        <x:v>INV9</x:v>
      </x:c>
      <x:c r="B9" s="1" t="str">
        <x:v>PO0009</x:v>
      </x:c>
      <x:c r="C9" s="5" t="n">
        <x:v>46145</x:v>
      </x:c>
      <x:c r="D9" s="5" t="n">
        <x:v>46190</x:v>
      </x:c>
      <x:c r="E9" s="1" t="n">
        <x:v>4414</x:v>
      </x:c>
      <x:c r="F9" s="6" t="n">
        <x:v>16.16</x:v>
      </x:c>
      <x:c r="G9" s="1" t="str">
        <x:v>None</x:v>
      </x:c>
      <x:c r="H9" s="5" t="n">
        <x:v>46145</x:v>
      </x:c>
      <x:c r="I9" s="5" t="n">
        <x:v>46189</x:v>
      </x:c>
      <x:c r="J9" s="10" t="n">
        <x:f>E9*F9</x:f>
        <x:v>71330.24</x:v>
      </x:c>
    </x:row>
    <x:row r="10">
      <x:c r="A10" s="1" t="str">
        <x:v>INV10</x:v>
      </x:c>
      <x:c r="B10" s="1" t="str">
        <x:v>PO0010</x:v>
      </x:c>
      <x:c r="C10" s="5" t="n">
        <x:v>46071</x:v>
      </x:c>
      <x:c r="D10" s="5" t="n">
        <x:v>46131</x:v>
      </x:c>
      <x:c r="E10" s="1" t="n">
        <x:v>3016</x:v>
      </x:c>
      <x:c r="F10" s="6" t="n">
        <x:v>15.5</x:v>
      </x:c>
      <x:c r="G10" s="1" t="str">
        <x:v>None</x:v>
      </x:c>
      <x:c r="H10" s="5" t="n">
        <x:v>46071</x:v>
      </x:c>
      <x:c r="I10" s="5" t="n">
        <x:v>46132</x:v>
      </x:c>
      <x:c r="J10" s="10" t="n">
        <x:f>E10*F10</x:f>
        <x:v>46748</x:v>
      </x:c>
    </x:row>
    <x:row r="11">
      <x:c r="A11" s="1" t="str">
        <x:v>INV11</x:v>
      </x:c>
      <x:c r="B11" s="1" t="str">
        <x:v>PO0011</x:v>
      </x:c>
      <x:c r="C11" s="5" t="n">
        <x:v>46143</x:v>
      </x:c>
      <x:c r="D11" s="5" t="n">
        <x:v>46203</x:v>
      </x:c>
      <x:c r="E11" s="1" t="n">
        <x:v>2568</x:v>
      </x:c>
      <x:c r="F11" s="6" t="n">
        <x:v>1.46</x:v>
      </x:c>
      <x:c r="G11" s="1" t="str">
        <x:v>Price mismatch</x:v>
      </x:c>
      <x:c r="H11" s="5" t="n">
        <x:v>46154</x:v>
      </x:c>
      <x:c r="I11" s="5" t="n">
        <x:v>46209</x:v>
      </x:c>
      <x:c r="J11" s="10" t="n">
        <x:f>E11*F11</x:f>
        <x:v>3749.2799999999997</x:v>
      </x:c>
    </x:row>
    <x:row r="12">
      <x:c r="A12" s="1" t="str">
        <x:v>INV12</x:v>
      </x:c>
      <x:c r="B12" s="1" t="str">
        <x:v>PO0012</x:v>
      </x:c>
      <x:c r="C12" s="5" t="n">
        <x:v>46281</x:v>
      </x:c>
      <x:c r="D12" s="5" t="n">
        <x:v>46341</x:v>
      </x:c>
      <x:c r="E12" s="1" t="n">
        <x:v>4662</x:v>
      </x:c>
      <x:c r="F12" s="6" t="n">
        <x:v>14.09</x:v>
      </x:c>
      <x:c r="G12" s="1" t="str">
        <x:v>None</x:v>
      </x:c>
      <x:c r="H12" s="5" t="n">
        <x:v>46281</x:v>
      </x:c>
      <x:c r="I12" s="5"/>
      <x:c r="J12" s="10" t="n">
        <x:f>E12*F12</x:f>
        <x:v>65687.58</x:v>
      </x:c>
    </x:row>
    <x:row r="13">
      <x:c r="A13" s="1" t="str">
        <x:v>INV13</x:v>
      </x:c>
      <x:c r="B13" s="1" t="str">
        <x:v>PO0013</x:v>
      </x:c>
      <x:c r="C13" s="5" t="n">
        <x:v>46077</x:v>
      </x:c>
      <x:c r="D13" s="5" t="n">
        <x:v>46107</x:v>
      </x:c>
      <x:c r="E13" s="1" t="n">
        <x:v>4141</x:v>
      </x:c>
      <x:c r="F13" s="6" t="n">
        <x:v>9.17</x:v>
      </x:c>
      <x:c r="G13" s="1" t="str">
        <x:v>None</x:v>
      </x:c>
      <x:c r="H13" s="5" t="n">
        <x:v>46077</x:v>
      </x:c>
      <x:c r="I13" s="5" t="n">
        <x:v>46106</x:v>
      </x:c>
      <x:c r="J13" s="10" t="n">
        <x:f>E13*F13</x:f>
        <x:v>37972.97</x:v>
      </x:c>
    </x:row>
    <x:row r="14">
      <x:c r="A14" s="1" t="str">
        <x:v>INV14</x:v>
      </x:c>
      <x:c r="B14" s="1" t="str">
        <x:v>PO0014</x:v>
      </x:c>
      <x:c r="C14" s="5" t="n">
        <x:v>46218</x:v>
      </x:c>
      <x:c r="D14" s="5" t="n">
        <x:v>46248</x:v>
      </x:c>
      <x:c r="E14" s="1" t="n">
        <x:v>3227</x:v>
      </x:c>
      <x:c r="F14" s="6" t="n">
        <x:v>16.14</x:v>
      </x:c>
      <x:c r="G14" s="1" t="str">
        <x:v>None</x:v>
      </x:c>
      <x:c r="H14" s="5" t="n">
        <x:v>46218</x:v>
      </x:c>
      <x:c r="I14" s="5" t="n">
        <x:v>46255</x:v>
      </x:c>
      <x:c r="J14" s="10" t="n">
        <x:f>E14*F14</x:f>
        <x:v>52083.78</x:v>
      </x:c>
    </x:row>
    <x:row r="15">
      <x:c r="A15" s="1" t="str">
        <x:v>INV15</x:v>
      </x:c>
      <x:c r="B15" s="1" t="str">
        <x:v>PO0015</x:v>
      </x:c>
      <x:c r="C15" s="5" t="n">
        <x:v>46265</x:v>
      </x:c>
      <x:c r="D15" s="5" t="n">
        <x:v>46295</x:v>
      </x:c>
      <x:c r="E15" s="1" t="n">
        <x:v>2665</x:v>
      </x:c>
      <x:c r="F15" s="6" t="n">
        <x:v>23.79</x:v>
      </x:c>
      <x:c r="G15" s="1" t="str">
        <x:v>None</x:v>
      </x:c>
      <x:c r="H15" s="5" t="n">
        <x:v>46265</x:v>
      </x:c>
      <x:c r="I15" s="5"/>
      <x:c r="J15" s="10" t="n">
        <x:f>E15*F15</x:f>
        <x:v>63400.35</x:v>
      </x:c>
    </x:row>
    <x:row r="16">
      <x:c r="A16" s="1" t="str">
        <x:v>INV16</x:v>
      </x:c>
      <x:c r="B16" s="1" t="str">
        <x:v>PO0016</x:v>
      </x:c>
      <x:c r="C16" s="5" t="n">
        <x:v>46174</x:v>
      </x:c>
      <x:c r="D16" s="5" t="n">
        <x:v>46204</x:v>
      </x:c>
      <x:c r="E16" s="1" t="n">
        <x:v>4986</x:v>
      </x:c>
      <x:c r="F16" s="6" t="n">
        <x:v>23.92</x:v>
      </x:c>
      <x:c r="G16" s="1" t="str">
        <x:v>None</x:v>
      </x:c>
      <x:c r="H16" s="5" t="n">
        <x:v>46174</x:v>
      </x:c>
      <x:c r="I16" s="5" t="n">
        <x:v>46207</x:v>
      </x:c>
      <x:c r="J16" s="10" t="n">
        <x:f>E16*F16</x:f>
        <x:v>119265.12000000001</x:v>
      </x:c>
    </x:row>
    <x:row r="17">
      <x:c r="A17" s="1" t="str">
        <x:v>INV17</x:v>
      </x:c>
      <x:c r="B17" s="1" t="str">
        <x:v>PO0017</x:v>
      </x:c>
      <x:c r="C17" s="5" t="n">
        <x:v>46268</x:v>
      </x:c>
      <x:c r="D17" s="5" t="n">
        <x:v>46298</x:v>
      </x:c>
      <x:c r="E17" s="1" t="n">
        <x:v>3419</x:v>
      </x:c>
      <x:c r="F17" s="6" t="n">
        <x:v>14.01</x:v>
      </x:c>
      <x:c r="G17" s="1" t="str">
        <x:v>Quantity mismatch</x:v>
      </x:c>
      <x:c r="H17" s="5" t="n">
        <x:v>46281</x:v>
      </x:c>
      <x:c r="I17" s="5"/>
      <x:c r="J17" s="10" t="n">
        <x:f>E17*F17</x:f>
        <x:v>47900.19</x:v>
      </x:c>
    </x:row>
    <x:row r="18">
      <x:c r="A18" s="1" t="str">
        <x:v>INV18</x:v>
      </x:c>
      <x:c r="B18" s="1" t="str">
        <x:v>PO0018</x:v>
      </x:c>
      <x:c r="C18" s="5" t="n">
        <x:v>46278</x:v>
      </x:c>
      <x:c r="D18" s="5" t="n">
        <x:v>46308</x:v>
      </x:c>
      <x:c r="E18" s="1" t="n">
        <x:v>3845</x:v>
      </x:c>
      <x:c r="F18" s="6" t="n">
        <x:v>23.34</x:v>
      </x:c>
      <x:c r="G18" s="1" t="str">
        <x:v>None</x:v>
      </x:c>
      <x:c r="H18" s="5" t="n">
        <x:v>46278</x:v>
      </x:c>
      <x:c r="I18" s="5"/>
      <x:c r="J18" s="10" t="n">
        <x:f>E18*F18</x:f>
        <x:v>89742.3</x:v>
      </x:c>
    </x:row>
    <x:row r="19">
      <x:c r="A19" s="1" t="str">
        <x:v>INV19</x:v>
      </x:c>
      <x:c r="B19" s="1" t="str">
        <x:v>PO0019</x:v>
      </x:c>
      <x:c r="C19" s="5" t="n">
        <x:v>46110</x:v>
      </x:c>
      <x:c r="D19" s="5" t="n">
        <x:v>46155</x:v>
      </x:c>
      <x:c r="E19" s="1" t="n">
        <x:v>4726</x:v>
      </x:c>
      <x:c r="F19" s="6" t="n">
        <x:v>7.08</x:v>
      </x:c>
      <x:c r="G19" s="1" t="str">
        <x:v>None</x:v>
      </x:c>
      <x:c r="H19" s="5" t="n">
        <x:v>46110</x:v>
      </x:c>
      <x:c r="I19" s="5" t="n">
        <x:v>46158</x:v>
      </x:c>
      <x:c r="J19" s="10" t="n">
        <x:f>E19*F19</x:f>
        <x:v>33460.08</x:v>
      </x:c>
    </x:row>
    <x:row r="20">
      <x:c r="A20" s="1" t="str">
        <x:v>INV21</x:v>
      </x:c>
      <x:c r="B20" s="1" t="str">
        <x:v>PO0021</x:v>
      </x:c>
      <x:c r="C20" s="5" t="n">
        <x:v>46232</x:v>
      </x:c>
      <x:c r="D20" s="5" t="n">
        <x:v>46262</x:v>
      </x:c>
      <x:c r="E20" s="1" t="n">
        <x:v>4112</x:v>
      </x:c>
      <x:c r="F20" s="6" t="n">
        <x:v>9.45</x:v>
      </x:c>
      <x:c r="G20" s="1" t="str">
        <x:v>None</x:v>
      </x:c>
      <x:c r="H20" s="5" t="n">
        <x:v>46232</x:v>
      </x:c>
      <x:c r="I20" s="5" t="n">
        <x:v>46268</x:v>
      </x:c>
      <x:c r="J20" s="10" t="n">
        <x:f>E20*F20</x:f>
        <x:v>38858.399999999994</x:v>
      </x:c>
    </x:row>
    <x:row r="21">
      <x:c r="A21" s="1" t="str">
        <x:v>INV22</x:v>
      </x:c>
      <x:c r="B21" s="1" t="str">
        <x:v>PO0022</x:v>
      </x:c>
      <x:c r="C21" s="5" t="n">
        <x:v>46179</x:v>
      </x:c>
      <x:c r="D21" s="5" t="n">
        <x:v>46209</x:v>
      </x:c>
      <x:c r="E21" s="1" t="n">
        <x:v>4539</x:v>
      </x:c>
      <x:c r="F21" s="6" t="n">
        <x:v>14.11</x:v>
      </x:c>
      <x:c r="G21" s="1" t="str">
        <x:v>None</x:v>
      </x:c>
      <x:c r="H21" s="5" t="n">
        <x:v>46179</x:v>
      </x:c>
      <x:c r="I21" s="5" t="n">
        <x:v>46212</x:v>
      </x:c>
      <x:c r="J21" s="10" t="n">
        <x:f>E21*F21</x:f>
        <x:v>64045.29</x:v>
      </x:c>
    </x:row>
    <x:row r="22">
      <x:c r="A22" s="1" t="str">
        <x:v>INV23</x:v>
      </x:c>
      <x:c r="B22" s="1" t="str">
        <x:v>PO0023</x:v>
      </x:c>
      <x:c r="C22" s="5" t="n">
        <x:v>46056</x:v>
      </x:c>
      <x:c r="D22" s="5" t="n">
        <x:v>46086</x:v>
      </x:c>
      <x:c r="E22" s="1" t="n">
        <x:v>2161</x:v>
      </x:c>
      <x:c r="F22" s="6" t="n">
        <x:v>15.04</x:v>
      </x:c>
      <x:c r="G22" s="1" t="str">
        <x:v>None</x:v>
      </x:c>
      <x:c r="H22" s="5" t="n">
        <x:v>46056</x:v>
      </x:c>
      <x:c r="I22" s="5" t="n">
        <x:v>46091</x:v>
      </x:c>
      <x:c r="J22" s="10" t="n">
        <x:f>E22*F22</x:f>
        <x:v>32501.44</x:v>
      </x:c>
    </x:row>
    <x:row r="23">
      <x:c r="A23" s="1" t="str">
        <x:v>INV24</x:v>
      </x:c>
      <x:c r="B23" s="1" t="str">
        <x:v>PO0024</x:v>
      </x:c>
      <x:c r="C23" s="5" t="n">
        <x:v>46154</x:v>
      </x:c>
      <x:c r="D23" s="5" t="n">
        <x:v>46184</x:v>
      </x:c>
      <x:c r="E23" s="1" t="n">
        <x:v>1300</x:v>
      </x:c>
      <x:c r="F23" s="6" t="n">
        <x:v>2.92</x:v>
      </x:c>
      <x:c r="G23" s="1" t="str">
        <x:v>None</x:v>
      </x:c>
      <x:c r="H23" s="5" t="n">
        <x:v>46154</x:v>
      </x:c>
      <x:c r="I23" s="5" t="n">
        <x:v>46182</x:v>
      </x:c>
      <x:c r="J23" s="10" t="n">
        <x:f>E23*F23</x:f>
        <x:v>3796</x:v>
      </x:c>
    </x:row>
    <x:row r="24">
      <x:c r="A24" s="1" t="str">
        <x:v>INV25</x:v>
      </x:c>
      <x:c r="B24" s="1" t="str">
        <x:v>PO0025</x:v>
      </x:c>
      <x:c r="C24" s="5" t="n">
        <x:v>46266</x:v>
      </x:c>
      <x:c r="D24" s="5" t="n">
        <x:v>46311</x:v>
      </x:c>
      <x:c r="E24" s="1" t="n">
        <x:v>4872</x:v>
      </x:c>
      <x:c r="F24" s="6" t="n">
        <x:v>10.51</x:v>
      </x:c>
      <x:c r="G24" s="1" t="str">
        <x:v>None</x:v>
      </x:c>
      <x:c r="H24" s="5" t="n">
        <x:v>46266</x:v>
      </x:c>
      <x:c r="I24" s="5"/>
      <x:c r="J24" s="10" t="n">
        <x:f>E24*F24</x:f>
        <x:v>51204.72</x:v>
      </x:c>
    </x:row>
    <x:row r="25">
      <x:c r="A25" s="1" t="str">
        <x:v>INV26</x:v>
      </x:c>
      <x:c r="B25" s="1" t="str">
        <x:v>PO0026</x:v>
      </x:c>
      <x:c r="C25" s="5" t="n">
        <x:v>46181</x:v>
      </x:c>
      <x:c r="D25" s="5" t="n">
        <x:v>46211</x:v>
      </x:c>
      <x:c r="E25" s="1" t="n">
        <x:v>519</x:v>
      </x:c>
      <x:c r="F25" s="6" t="n">
        <x:v>16.68</x:v>
      </x:c>
      <x:c r="G25" s="1" t="str">
        <x:v>Missing documentation</x:v>
      </x:c>
      <x:c r="H25" s="5" t="n">
        <x:v>46185</x:v>
      </x:c>
      <x:c r="I25" s="5" t="n">
        <x:v>46208</x:v>
      </x:c>
      <x:c r="J25" s="10" t="n">
        <x:f>E25*F25</x:f>
        <x:v>8656.92</x:v>
      </x:c>
    </x:row>
    <x:row r="26">
      <x:c r="A26" s="1" t="str">
        <x:v>INV27</x:v>
      </x:c>
      <x:c r="B26" s="1" t="str">
        <x:v>PO0027</x:v>
      </x:c>
      <x:c r="C26" s="5" t="n">
        <x:v>46145</x:v>
      </x:c>
      <x:c r="D26" s="5" t="n">
        <x:v>46175</x:v>
      </x:c>
      <x:c r="E26" s="1" t="n">
        <x:v>4556</x:v>
      </x:c>
      <x:c r="F26" s="6" t="n">
        <x:v>1.53</x:v>
      </x:c>
      <x:c r="G26" s="1" t="str">
        <x:v>None</x:v>
      </x:c>
      <x:c r="H26" s="5" t="n">
        <x:v>46145</x:v>
      </x:c>
      <x:c r="I26" s="5" t="n">
        <x:v>46176</x:v>
      </x:c>
      <x:c r="J26" s="10" t="n">
        <x:f>E26*F26</x:f>
        <x:v>6970.68</x:v>
      </x:c>
    </x:row>
    <x:row r="27">
      <x:c r="A27" s="1" t="str">
        <x:v>INV28</x:v>
      </x:c>
      <x:c r="B27" s="1" t="str">
        <x:v>PO0028</x:v>
      </x:c>
      <x:c r="C27" s="5" t="n">
        <x:v>46196</x:v>
      </x:c>
      <x:c r="D27" s="5" t="n">
        <x:v>46241</x:v>
      </x:c>
      <x:c r="E27" s="1" t="n">
        <x:v>3680</x:v>
      </x:c>
      <x:c r="F27" s="6" t="n">
        <x:v>20.79</x:v>
      </x:c>
      <x:c r="G27" s="1" t="str">
        <x:v>None</x:v>
      </x:c>
      <x:c r="H27" s="5" t="n">
        <x:v>46196</x:v>
      </x:c>
      <x:c r="I27" s="5" t="n">
        <x:v>46244</x:v>
      </x:c>
      <x:c r="J27" s="10" t="n">
        <x:f>E27*F27</x:f>
        <x:v>76507.2</x:v>
      </x:c>
    </x:row>
    <x:row r="28">
      <x:c r="A28" s="1" t="str">
        <x:v>INV29</x:v>
      </x:c>
      <x:c r="B28" s="1" t="str">
        <x:v>PO0029</x:v>
      </x:c>
      <x:c r="C28" s="5" t="n">
        <x:v>46176</x:v>
      </x:c>
      <x:c r="D28" s="5" t="n">
        <x:v>46221</x:v>
      </x:c>
      <x:c r="E28" s="1" t="n">
        <x:v>3302</x:v>
      </x:c>
      <x:c r="F28" s="6" t="n">
        <x:v>23.97</x:v>
      </x:c>
      <x:c r="G28" s="1" t="str">
        <x:v>None</x:v>
      </x:c>
      <x:c r="H28" s="5" t="n">
        <x:v>46176</x:v>
      </x:c>
      <x:c r="I28" s="5" t="n">
        <x:v>46219</x:v>
      </x:c>
      <x:c r="J28" s="10" t="n">
        <x:f>E28*F28</x:f>
        <x:v>79148.94</x:v>
      </x:c>
    </x:row>
    <x:row r="29">
      <x:c r="A29" s="1" t="str">
        <x:v>INV30</x:v>
      </x:c>
      <x:c r="B29" s="1" t="str">
        <x:v>PO0030</x:v>
      </x:c>
      <x:c r="C29" s="5" t="n">
        <x:v>46083</x:v>
      </x:c>
      <x:c r="D29" s="5" t="n">
        <x:v>46143</x:v>
      </x:c>
      <x:c r="E29" s="1" t="n">
        <x:v>861</x:v>
      </x:c>
      <x:c r="F29" s="6" t="n">
        <x:v>14.03</x:v>
      </x:c>
      <x:c r="G29" s="1" t="str">
        <x:v>None</x:v>
      </x:c>
      <x:c r="H29" s="5" t="n">
        <x:v>46083</x:v>
      </x:c>
      <x:c r="I29" s="5" t="n">
        <x:v>46149</x:v>
      </x:c>
      <x:c r="J29" s="10" t="n">
        <x:f>E29*F29</x:f>
        <x:v>12079.83</x:v>
      </x:c>
    </x:row>
    <x:row r="30">
      <x:c r="A30" s="1" t="str">
        <x:v>INV31</x:v>
      </x:c>
      <x:c r="B30" s="1" t="str">
        <x:v>PO0031</x:v>
      </x:c>
      <x:c r="C30" s="5" t="n">
        <x:v>46295</x:v>
      </x:c>
      <x:c r="D30" s="5" t="n">
        <x:v>46340</x:v>
      </x:c>
      <x:c r="E30" s="1" t="n">
        <x:v>1500</x:v>
      </x:c>
      <x:c r="F30" s="6" t="n">
        <x:v>5.24</x:v>
      </x:c>
      <x:c r="G30" s="1" t="str">
        <x:v>Missing documentation</x:v>
      </x:c>
      <x:c r="H30" s="5"/>
      <x:c r="I30" s="5"/>
      <x:c r="J30" s="10" t="n">
        <x:f>E30*F30</x:f>
        <x:v>7860</x:v>
      </x:c>
    </x:row>
    <x:row r="31">
      <x:c r="A31" s="1" t="str">
        <x:v>INV32</x:v>
      </x:c>
      <x:c r="B31" s="1" t="str">
        <x:v>PO0032</x:v>
      </x:c>
      <x:c r="C31" s="5" t="n">
        <x:v>46251</x:v>
      </x:c>
      <x:c r="D31" s="5" t="n">
        <x:v>46281</x:v>
      </x:c>
      <x:c r="E31" s="1" t="n">
        <x:v>1910</x:v>
      </x:c>
      <x:c r="F31" s="6" t="n">
        <x:v>6.4</x:v>
      </x:c>
      <x:c r="G31" s="1" t="str">
        <x:v>Price mismatch</x:v>
      </x:c>
      <x:c r="H31" s="5" t="n">
        <x:v>46256</x:v>
      </x:c>
      <x:c r="I31" s="5" t="n">
        <x:v>46280</x:v>
      </x:c>
      <x:c r="J31" s="10" t="n">
        <x:f>E31*F31</x:f>
        <x:v>12224</x:v>
      </x:c>
    </x:row>
    <x:row r="32">
      <x:c r="A32" s="1" t="str">
        <x:v>INV33</x:v>
      </x:c>
      <x:c r="B32" s="1" t="str">
        <x:v>PO0033</x:v>
      </x:c>
      <x:c r="C32" s="5" t="n">
        <x:v>46287</x:v>
      </x:c>
      <x:c r="D32" s="5" t="n">
        <x:v>46332</x:v>
      </x:c>
      <x:c r="E32" s="1" t="n">
        <x:v>3098</x:v>
      </x:c>
      <x:c r="F32" s="6" t="n">
        <x:v>16.29</x:v>
      </x:c>
      <x:c r="G32" s="1" t="str">
        <x:v>None</x:v>
      </x:c>
      <x:c r="H32" s="5" t="n">
        <x:v>46287</x:v>
      </x:c>
      <x:c r="I32" s="5"/>
      <x:c r="J32" s="10" t="n">
        <x:f>E32*F32</x:f>
        <x:v>50466.42</x:v>
      </x:c>
    </x:row>
    <x:row r="33">
      <x:c r="A33" s="1" t="str">
        <x:v>INV34</x:v>
      </x:c>
      <x:c r="B33" s="1" t="str">
        <x:v>PO0034</x:v>
      </x:c>
      <x:c r="C33" s="5" t="n">
        <x:v>46141</x:v>
      </x:c>
      <x:c r="D33" s="5" t="n">
        <x:v>46186</x:v>
      </x:c>
      <x:c r="E33" s="1" t="n">
        <x:v>4098</x:v>
      </x:c>
      <x:c r="F33" s="6" t="n">
        <x:v>9.39</x:v>
      </x:c>
      <x:c r="G33" s="1" t="str">
        <x:v>None</x:v>
      </x:c>
      <x:c r="H33" s="5" t="n">
        <x:v>46141</x:v>
      </x:c>
      <x:c r="I33" s="5" t="n">
        <x:v>46185</x:v>
      </x:c>
      <x:c r="J33" s="10" t="n">
        <x:f>E33*F33</x:f>
        <x:v>38480.22</x:v>
      </x:c>
    </x:row>
    <x:row r="34">
      <x:c r="A34" s="1" t="str">
        <x:v>INV35</x:v>
      </x:c>
      <x:c r="B34" s="1" t="str">
        <x:v>PO0035</x:v>
      </x:c>
      <x:c r="C34" s="5" t="n">
        <x:v>46143</x:v>
      </x:c>
      <x:c r="D34" s="5" t="n">
        <x:v>46203</x:v>
      </x:c>
      <x:c r="E34" s="1" t="n">
        <x:v>532</x:v>
      </x:c>
      <x:c r="F34" s="6" t="n">
        <x:v>2.8</x:v>
      </x:c>
      <x:c r="G34" s="1" t="str">
        <x:v>None</x:v>
      </x:c>
      <x:c r="H34" s="5" t="n">
        <x:v>46143</x:v>
      </x:c>
      <x:c r="I34" s="5" t="n">
        <x:v>46209</x:v>
      </x:c>
      <x:c r="J34" s="10" t="n">
        <x:f>E34*F34</x:f>
        <x:v>1489.6</x:v>
      </x:c>
    </x:row>
    <x:row r="35">
      <x:c r="A35" s="1" t="str">
        <x:v>INV36</x:v>
      </x:c>
      <x:c r="B35" s="1" t="str">
        <x:v>PO0036</x:v>
      </x:c>
      <x:c r="C35" s="5" t="n">
        <x:v>46253</x:v>
      </x:c>
      <x:c r="D35" s="5" t="n">
        <x:v>46298</x:v>
      </x:c>
      <x:c r="E35" s="1" t="n">
        <x:v>1860</x:v>
      </x:c>
      <x:c r="F35" s="6" t="n">
        <x:v>15.08</x:v>
      </x:c>
      <x:c r="G35" s="1" t="str">
        <x:v>None</x:v>
      </x:c>
      <x:c r="H35" s="5" t="n">
        <x:v>46253</x:v>
      </x:c>
      <x:c r="I35" s="5"/>
      <x:c r="J35" s="10" t="n">
        <x:f>E35*F35</x:f>
        <x:v>28048.8</x:v>
      </x:c>
    </x:row>
    <x:row r="36">
      <x:c r="A36" s="1" t="str">
        <x:v>INV37</x:v>
      </x:c>
      <x:c r="B36" s="1" t="str">
        <x:v>PO0037</x:v>
      </x:c>
      <x:c r="C36" s="5" t="n">
        <x:v>46135</x:v>
      </x:c>
      <x:c r="D36" s="5" t="n">
        <x:v>46165</x:v>
      </x:c>
      <x:c r="E36" s="1" t="n">
        <x:v>2804</x:v>
      </x:c>
      <x:c r="F36" s="6" t="n">
        <x:v>23.99</x:v>
      </x:c>
      <x:c r="G36" s="1" t="str">
        <x:v>None</x:v>
      </x:c>
      <x:c r="H36" s="5" t="n">
        <x:v>46135</x:v>
      </x:c>
      <x:c r="I36" s="5" t="n">
        <x:v>46169</x:v>
      </x:c>
      <x:c r="J36" s="10" t="n">
        <x:f>E36*F36</x:f>
        <x:v>67267.95999999999</x:v>
      </x:c>
    </x:row>
    <x:row r="37">
      <x:c r="A37" s="1" t="str">
        <x:v>INV38</x:v>
      </x:c>
      <x:c r="B37" s="1" t="str">
        <x:v>PO0038</x:v>
      </x:c>
      <x:c r="C37" s="5" t="n">
        <x:v>46215</x:v>
      </x:c>
      <x:c r="D37" s="5" t="n">
        <x:v>46275</x:v>
      </x:c>
      <x:c r="E37" s="1" t="n">
        <x:v>141</x:v>
      </x:c>
      <x:c r="F37" s="6" t="n">
        <x:v>15.71</x:v>
      </x:c>
      <x:c r="G37" s="1" t="str">
        <x:v>None</x:v>
      </x:c>
      <x:c r="H37" s="5" t="n">
        <x:v>46215</x:v>
      </x:c>
      <x:c r="I37" s="5" t="n">
        <x:v>46280</x:v>
      </x:c>
      <x:c r="J37" s="10" t="n">
        <x:f>E37*F37</x:f>
        <x:v>2215.11</x:v>
      </x:c>
    </x:row>
    <x:row r="38">
      <x:c r="A38" s="1" t="str">
        <x:v>INV39</x:v>
      </x:c>
      <x:c r="B38" s="1" t="str">
        <x:v>PO0039</x:v>
      </x:c>
      <x:c r="C38" s="5" t="n">
        <x:v>46151</x:v>
      </x:c>
      <x:c r="D38" s="5" t="n">
        <x:v>46181</x:v>
      </x:c>
      <x:c r="E38" s="1" t="n">
        <x:v>1735</x:v>
      </x:c>
      <x:c r="F38" s="6" t="n">
        <x:v>12.79</x:v>
      </x:c>
      <x:c r="G38" s="1" t="str">
        <x:v>None</x:v>
      </x:c>
      <x:c r="H38" s="5" t="n">
        <x:v>46151</x:v>
      </x:c>
      <x:c r="I38" s="5" t="n">
        <x:v>46182</x:v>
      </x:c>
      <x:c r="J38" s="10" t="n">
        <x:f>E38*F38</x:f>
        <x:v>22190.649999999998</x:v>
      </x:c>
    </x:row>
    <x:row r="39">
      <x:c r="A39" s="1" t="str">
        <x:v>INV40</x:v>
      </x:c>
      <x:c r="B39" s="1" t="str">
        <x:v>PO0040</x:v>
      </x:c>
      <x:c r="C39" s="5" t="n">
        <x:v>46080</x:v>
      </x:c>
      <x:c r="D39" s="5" t="n">
        <x:v>46140</x:v>
      </x:c>
      <x:c r="E39" s="1" t="n">
        <x:v>384</x:v>
      </x:c>
      <x:c r="F39" s="6" t="n">
        <x:v>17.41</x:v>
      </x:c>
      <x:c r="G39" s="1" t="str">
        <x:v>Missing documentation</x:v>
      </x:c>
      <x:c r="H39" s="5" t="n">
        <x:v>46102</x:v>
      </x:c>
      <x:c r="I39" s="5" t="n">
        <x:v>46139</x:v>
      </x:c>
      <x:c r="J39" s="10" t="n">
        <x:f>E39*F39</x:f>
        <x:v>6685.4400000000005</x:v>
      </x:c>
    </x:row>
    <x:row r="40">
      <x:c r="A40" s="1" t="str">
        <x:v>INV41</x:v>
      </x:c>
      <x:c r="B40" s="1" t="str">
        <x:v>PO0041</x:v>
      </x:c>
      <x:c r="C40" s="5" t="n">
        <x:v>46247</x:v>
      </x:c>
      <x:c r="D40" s="5" t="n">
        <x:v>46277</x:v>
      </x:c>
      <x:c r="E40" s="1" t="n">
        <x:v>1862</x:v>
      </x:c>
      <x:c r="F40" s="6" t="n">
        <x:v>5.58</x:v>
      </x:c>
      <x:c r="G40" s="1" t="str">
        <x:v>None</x:v>
      </x:c>
      <x:c r="H40" s="5" t="n">
        <x:v>46247</x:v>
      </x:c>
      <x:c r="I40" s="5" t="n">
        <x:v>46275</x:v>
      </x:c>
      <x:c r="J40" s="10" t="n">
        <x:f>E40*F40</x:f>
        <x:v>10389.960000000001</x:v>
      </x:c>
    </x:row>
    <x:row r="41">
      <x:c r="A41" s="1" t="str">
        <x:v>INV42</x:v>
      </x:c>
      <x:c r="B41" s="1" t="str">
        <x:v>PO0042</x:v>
      </x:c>
      <x:c r="C41" s="5" t="n">
        <x:v>46248</x:v>
      </x:c>
      <x:c r="D41" s="5" t="n">
        <x:v>46278</x:v>
      </x:c>
      <x:c r="E41" s="1" t="n">
        <x:v>2032</x:v>
      </x:c>
      <x:c r="F41" s="6" t="n">
        <x:v>15.27</x:v>
      </x:c>
      <x:c r="G41" s="1" t="str">
        <x:v>None</x:v>
      </x:c>
      <x:c r="H41" s="5" t="n">
        <x:v>46248</x:v>
      </x:c>
      <x:c r="I41" s="5" t="n">
        <x:v>46282</x:v>
      </x:c>
      <x:c r="J41" s="10" t="n">
        <x:f>E41*F41</x:f>
        <x:v>31028.64</x:v>
      </x:c>
    </x:row>
    <x:row r="42">
      <x:c r="A42" s="1" t="str">
        <x:v>INV43</x:v>
      </x:c>
      <x:c r="B42" s="1" t="str">
        <x:v>PO0043</x:v>
      </x:c>
      <x:c r="C42" s="5" t="n">
        <x:v>46063</x:v>
      </x:c>
      <x:c r="D42" s="5" t="n">
        <x:v>46123</x:v>
      </x:c>
      <x:c r="E42" s="1" t="n">
        <x:v>2672</x:v>
      </x:c>
      <x:c r="F42" s="6" t="n">
        <x:v>22.52</x:v>
      </x:c>
      <x:c r="G42" s="1" t="str">
        <x:v>None</x:v>
      </x:c>
      <x:c r="H42" s="5" t="n">
        <x:v>46063</x:v>
      </x:c>
      <x:c r="I42" s="5" t="n">
        <x:v>46121</x:v>
      </x:c>
      <x:c r="J42" s="10" t="n">
        <x:f>E42*F42</x:f>
        <x:v>60173.44</x:v>
      </x:c>
    </x:row>
    <x:row r="43">
      <x:c r="A43" s="1" t="str">
        <x:v>INV44</x:v>
      </x:c>
      <x:c r="B43" s="1" t="str">
        <x:v>PO0044</x:v>
      </x:c>
      <x:c r="C43" s="5" t="n">
        <x:v>46174</x:v>
      </x:c>
      <x:c r="D43" s="5" t="n">
        <x:v>46234</x:v>
      </x:c>
      <x:c r="E43" s="1" t="n">
        <x:v>1672</x:v>
      </x:c>
      <x:c r="F43" s="6" t="n">
        <x:v>1.27</x:v>
      </x:c>
      <x:c r="G43" s="1" t="str">
        <x:v>None</x:v>
      </x:c>
      <x:c r="H43" s="5" t="n">
        <x:v>46174</x:v>
      </x:c>
      <x:c r="I43" s="5" t="n">
        <x:v>46241</x:v>
      </x:c>
      <x:c r="J43" s="10" t="n">
        <x:f>E43*F43</x:f>
        <x:v>2123.44</x:v>
      </x:c>
    </x:row>
    <x:row r="44">
      <x:c r="A44" s="1" t="str">
        <x:v>INV45</x:v>
      </x:c>
      <x:c r="B44" s="1" t="str">
        <x:v>PO0045</x:v>
      </x:c>
      <x:c r="C44" s="5" t="n">
        <x:v>46050</x:v>
      </x:c>
      <x:c r="D44" s="5" t="n">
        <x:v>46080</x:v>
      </x:c>
      <x:c r="E44" s="1" t="n">
        <x:v>4388</x:v>
      </x:c>
      <x:c r="F44" s="6" t="n">
        <x:v>12.06</x:v>
      </x:c>
      <x:c r="G44" s="1" t="str">
        <x:v>None</x:v>
      </x:c>
      <x:c r="H44" s="5" t="n">
        <x:v>46050</x:v>
      </x:c>
      <x:c r="I44" s="5" t="n">
        <x:v>46083</x:v>
      </x:c>
      <x:c r="J44" s="10" t="n">
        <x:f>E44*F44</x:f>
        <x:v>52919.28</x:v>
      </x:c>
    </x:row>
    <x:row r="45">
      <x:c r="A45" s="1" t="str">
        <x:v>INV46</x:v>
      </x:c>
      <x:c r="B45" s="1" t="str">
        <x:v>PO0046</x:v>
      </x:c>
      <x:c r="C45" s="5" t="n">
        <x:v>46242</x:v>
      </x:c>
      <x:c r="D45" s="5" t="n">
        <x:v>46287</x:v>
      </x:c>
      <x:c r="E45" s="1" t="n">
        <x:v>2846</x:v>
      </x:c>
      <x:c r="F45" s="6" t="n">
        <x:v>10.14</x:v>
      </x:c>
      <x:c r="G45" s="1" t="str">
        <x:v>None</x:v>
      </x:c>
      <x:c r="H45" s="5" t="n">
        <x:v>46242</x:v>
      </x:c>
      <x:c r="I45" s="5" t="n">
        <x:v>46291</x:v>
      </x:c>
      <x:c r="J45" s="10" t="n">
        <x:f>E45*F45</x:f>
        <x:v>28858.440000000002</x:v>
      </x:c>
    </x:row>
    <x:row r="46">
      <x:c r="A46" s="1" t="str">
        <x:v>INV47</x:v>
      </x:c>
      <x:c r="B46" s="1" t="str">
        <x:v>PO0047</x:v>
      </x:c>
      <x:c r="C46" s="5" t="n">
        <x:v>46108</x:v>
      </x:c>
      <x:c r="D46" s="5" t="n">
        <x:v>46168</x:v>
      </x:c>
      <x:c r="E46" s="1" t="n">
        <x:v>4079</x:v>
      </x:c>
      <x:c r="F46" s="6" t="n">
        <x:v>18.18</x:v>
      </x:c>
      <x:c r="G46" s="1" t="str">
        <x:v>None</x:v>
      </x:c>
      <x:c r="H46" s="5" t="n">
        <x:v>46108</x:v>
      </x:c>
      <x:c r="I46" s="5" t="n">
        <x:v>46171</x:v>
      </x:c>
      <x:c r="J46" s="10" t="n">
        <x:f>E46*F46</x:f>
        <x:v>74156.22</x:v>
      </x:c>
    </x:row>
    <x:row r="47">
      <x:c r="A47" s="1" t="str">
        <x:v>INV48</x:v>
      </x:c>
      <x:c r="B47" s="1" t="str">
        <x:v>PO0048</x:v>
      </x:c>
      <x:c r="C47" s="5" t="n">
        <x:v>46236</x:v>
      </x:c>
      <x:c r="D47" s="5" t="n">
        <x:v>46281</x:v>
      </x:c>
      <x:c r="E47" s="1" t="n">
        <x:v>2430</x:v>
      </x:c>
      <x:c r="F47" s="6" t="n">
        <x:v>8.92</x:v>
      </x:c>
      <x:c r="G47" s="1" t="str">
        <x:v>None</x:v>
      </x:c>
      <x:c r="H47" s="5" t="n">
        <x:v>46236</x:v>
      </x:c>
      <x:c r="I47" s="5" t="n">
        <x:v>46288</x:v>
      </x:c>
      <x:c r="J47" s="10" t="n">
        <x:f>E47*F47</x:f>
        <x:v>21675.6</x:v>
      </x:c>
    </x:row>
    <x:row r="48">
      <x:c r="A48" s="1" t="str">
        <x:v>INV49</x:v>
      </x:c>
      <x:c r="B48" s="1" t="str">
        <x:v>PO0049</x:v>
      </x:c>
      <x:c r="C48" s="5" t="n">
        <x:v>46251</x:v>
      </x:c>
      <x:c r="D48" s="5" t="n">
        <x:v>46311</x:v>
      </x:c>
      <x:c r="E48" s="1" t="n">
        <x:v>2498</x:v>
      </x:c>
      <x:c r="F48" s="6" t="n">
        <x:v>1.54</x:v>
      </x:c>
      <x:c r="G48" s="1" t="str">
        <x:v>None</x:v>
      </x:c>
      <x:c r="H48" s="5" t="n">
        <x:v>46251</x:v>
      </x:c>
      <x:c r="I48" s="5"/>
      <x:c r="J48" s="10" t="n">
        <x:f>E48*F48</x:f>
        <x:v>3846.92</x:v>
      </x:c>
    </x:row>
    <x:row r="49">
      <x:c r="A49" s="1" t="str">
        <x:v>INV50</x:v>
      </x:c>
      <x:c r="B49" s="1" t="str">
        <x:v>PO0050</x:v>
      </x:c>
      <x:c r="C49" s="5" t="n">
        <x:v>46134</x:v>
      </x:c>
      <x:c r="D49" s="5" t="n">
        <x:v>46164</x:v>
      </x:c>
      <x:c r="E49" s="1" t="n">
        <x:v>3062</x:v>
      </x:c>
      <x:c r="F49" s="6" t="n">
        <x:v>17.32</x:v>
      </x:c>
      <x:c r="G49" s="1" t="str">
        <x:v>None</x:v>
      </x:c>
      <x:c r="H49" s="5" t="n">
        <x:v>46134</x:v>
      </x:c>
      <x:c r="I49" s="5" t="n">
        <x:v>46163</x:v>
      </x:c>
      <x:c r="J49" s="10" t="n">
        <x:f>E49*F49</x:f>
        <x:v>53033.840000000004</x:v>
      </x:c>
    </x:row>
    <x:row r="50">
      <x:c r="A50" s="1" t="str">
        <x:v>INV51</x:v>
      </x:c>
      <x:c r="B50" s="1" t="str">
        <x:v>PO0051</x:v>
      </x:c>
      <x:c r="C50" s="5" t="n">
        <x:v>46204</x:v>
      </x:c>
      <x:c r="D50" s="5" t="n">
        <x:v>46249</x:v>
      </x:c>
      <x:c r="E50" s="1" t="n">
        <x:v>3300</x:v>
      </x:c>
      <x:c r="F50" s="6" t="n">
        <x:v>2.41</x:v>
      </x:c>
      <x:c r="G50" s="1" t="str">
        <x:v>Price mismatch</x:v>
      </x:c>
      <x:c r="H50" s="5" t="n">
        <x:v>46211</x:v>
      </x:c>
      <x:c r="I50" s="5" t="n">
        <x:v>46253</x:v>
      </x:c>
      <x:c r="J50" s="10" t="n">
        <x:f>E50*F50</x:f>
        <x:v>7953.000000000001</x:v>
      </x:c>
    </x:row>
    <x:row r="51">
      <x:c r="A51" s="1" t="str">
        <x:v>INV52</x:v>
      </x:c>
      <x:c r="B51" s="1" t="str">
        <x:v>PO0052</x:v>
      </x:c>
      <x:c r="C51" s="5" t="n">
        <x:v>46110</x:v>
      </x:c>
      <x:c r="D51" s="5" t="n">
        <x:v>46155</x:v>
      </x:c>
      <x:c r="E51" s="1" t="n">
        <x:v>242</x:v>
      </x:c>
      <x:c r="F51" s="6" t="n">
        <x:v>3.34</x:v>
      </x:c>
      <x:c r="G51" s="1" t="str">
        <x:v>None</x:v>
      </x:c>
      <x:c r="H51" s="5" t="n">
        <x:v>46110</x:v>
      </x:c>
      <x:c r="I51" s="5" t="n">
        <x:v>46156</x:v>
      </x:c>
      <x:c r="J51" s="10" t="n">
        <x:f>E51*F51</x:f>
        <x:v>808.28</x:v>
      </x:c>
    </x:row>
    <x:row r="52">
      <x:c r="A52" s="1" t="str">
        <x:v>INV53</x:v>
      </x:c>
      <x:c r="B52" s="1" t="str">
        <x:v>PO0053</x:v>
      </x:c>
      <x:c r="C52" s="5" t="n">
        <x:v>46072</x:v>
      </x:c>
      <x:c r="D52" s="5" t="n">
        <x:v>46117</x:v>
      </x:c>
      <x:c r="E52" s="1" t="n">
        <x:v>4588</x:v>
      </x:c>
      <x:c r="F52" s="6" t="n">
        <x:v>6.34</x:v>
      </x:c>
      <x:c r="G52" s="1" t="str">
        <x:v>None</x:v>
      </x:c>
      <x:c r="H52" s="5" t="n">
        <x:v>46072</x:v>
      </x:c>
      <x:c r="I52" s="5" t="n">
        <x:v>46123</x:v>
      </x:c>
      <x:c r="J52" s="10" t="n">
        <x:f>E52*F52</x:f>
        <x:v>29087.92</x:v>
      </x:c>
    </x:row>
    <x:row r="53">
      <x:c r="A53" s="1" t="str">
        <x:v>INV54</x:v>
      </x:c>
      <x:c r="B53" s="1" t="str">
        <x:v>PO0054</x:v>
      </x:c>
      <x:c r="C53" s="5" t="n">
        <x:v>46085</x:v>
      </x:c>
      <x:c r="D53" s="5" t="n">
        <x:v>46115</x:v>
      </x:c>
      <x:c r="E53" s="1" t="n">
        <x:v>4645</x:v>
      </x:c>
      <x:c r="F53" s="6" t="n">
        <x:v>14.8</x:v>
      </x:c>
      <x:c r="G53" s="1" t="str">
        <x:v>Missing documentation</x:v>
      </x:c>
      <x:c r="H53" s="5" t="n">
        <x:v>46097</x:v>
      </x:c>
      <x:c r="I53" s="5" t="n">
        <x:v>46117</x:v>
      </x:c>
      <x:c r="J53" s="10" t="n">
        <x:f>E53*F53</x:f>
        <x:v>68746</x:v>
      </x:c>
    </x:row>
    <x:row r="54">
      <x:c r="A54" s="1" t="str">
        <x:v>INV55</x:v>
      </x:c>
      <x:c r="B54" s="1" t="str">
        <x:v>PO0055</x:v>
      </x:c>
      <x:c r="C54" s="5" t="n">
        <x:v>46213</x:v>
      </x:c>
      <x:c r="D54" s="5" t="n">
        <x:v>46258</x:v>
      </x:c>
      <x:c r="E54" s="1" t="n">
        <x:v>1248</x:v>
      </x:c>
      <x:c r="F54" s="6" t="n">
        <x:v>1.04</x:v>
      </x:c>
      <x:c r="G54" s="1" t="str">
        <x:v>None</x:v>
      </x:c>
      <x:c r="H54" s="5" t="n">
        <x:v>46213</x:v>
      </x:c>
      <x:c r="I54" s="5" t="n">
        <x:v>46259</x:v>
      </x:c>
      <x:c r="J54" s="10" t="n">
        <x:f>E54*F54</x:f>
        <x:v>1297.92</x:v>
      </x:c>
    </x:row>
    <x:row r="55">
      <x:c r="A55" s="1" t="str">
        <x:v>INV56</x:v>
      </x:c>
      <x:c r="B55" s="1" t="str">
        <x:v>PO0056</x:v>
      </x:c>
      <x:c r="C55" s="5" t="n">
        <x:v>46196</x:v>
      </x:c>
      <x:c r="D55" s="5" t="n">
        <x:v>46241</x:v>
      </x:c>
      <x:c r="E55" s="1" t="n">
        <x:v>4676</x:v>
      </x:c>
      <x:c r="F55" s="6" t="n">
        <x:v>18.99</x:v>
      </x:c>
      <x:c r="G55" s="1" t="str">
        <x:v>None</x:v>
      </x:c>
      <x:c r="H55" s="5" t="n">
        <x:v>46196</x:v>
      </x:c>
      <x:c r="I55" s="5" t="n">
        <x:v>46238</x:v>
      </x:c>
      <x:c r="J55" s="10" t="n">
        <x:f>E55*F55</x:f>
        <x:v>88797.23999999999</x:v>
      </x:c>
    </x:row>
    <x:row r="56">
      <x:c r="A56" s="1" t="str">
        <x:v>INV57</x:v>
      </x:c>
      <x:c r="B56" s="1" t="str">
        <x:v>PO0057</x:v>
      </x:c>
      <x:c r="C56" s="5" t="n">
        <x:v>46075</x:v>
      </x:c>
      <x:c r="D56" s="5" t="n">
        <x:v>46135</x:v>
      </x:c>
      <x:c r="E56" s="1" t="n">
        <x:v>4173</x:v>
      </x:c>
      <x:c r="F56" s="6" t="n">
        <x:v>13.66</x:v>
      </x:c>
      <x:c r="G56" s="1" t="str">
        <x:v>None</x:v>
      </x:c>
      <x:c r="H56" s="5" t="n">
        <x:v>46075</x:v>
      </x:c>
      <x:c r="I56" s="5" t="n">
        <x:v>46137</x:v>
      </x:c>
      <x:c r="J56" s="10" t="n">
        <x:f>E56*F56</x:f>
        <x:v>57003.18</x:v>
      </x:c>
    </x:row>
    <x:row r="57">
      <x:c r="A57" s="1" t="str">
        <x:v>INV58</x:v>
      </x:c>
      <x:c r="B57" s="1" t="str">
        <x:v>PO0058</x:v>
      </x:c>
      <x:c r="C57" s="5" t="n">
        <x:v>46117</x:v>
      </x:c>
      <x:c r="D57" s="5" t="n">
        <x:v>46177</x:v>
      </x:c>
      <x:c r="E57" s="1" t="n">
        <x:v>1548</x:v>
      </x:c>
      <x:c r="F57" s="6" t="n">
        <x:v>18.11</x:v>
      </x:c>
      <x:c r="G57" s="1" t="str">
        <x:v>Quantity mismatch</x:v>
      </x:c>
      <x:c r="H57" s="5" t="n">
        <x:v>46124</x:v>
      </x:c>
      <x:c r="I57" s="5" t="n">
        <x:v>46174</x:v>
      </x:c>
      <x:c r="J57" s="10" t="n">
        <x:f>E57*F57</x:f>
        <x:v>28034.28</x:v>
      </x:c>
    </x:row>
    <x:row r="58">
      <x:c r="A58" s="1" t="str">
        <x:v>INV59</x:v>
      </x:c>
      <x:c r="B58" s="1" t="str">
        <x:v>PO0059</x:v>
      </x:c>
      <x:c r="C58" s="5" t="n">
        <x:v>46171</x:v>
      </x:c>
      <x:c r="D58" s="5" t="n">
        <x:v>46201</x:v>
      </x:c>
      <x:c r="E58" s="1" t="n">
        <x:v>3831</x:v>
      </x:c>
      <x:c r="F58" s="6" t="n">
        <x:v>21.21</x:v>
      </x:c>
      <x:c r="G58" s="1" t="str">
        <x:v>None</x:v>
      </x:c>
      <x:c r="H58" s="5" t="n">
        <x:v>46171</x:v>
      </x:c>
      <x:c r="I58" s="5" t="n">
        <x:v>46199</x:v>
      </x:c>
      <x:c r="J58" s="10" t="n">
        <x:f>E58*F58</x:f>
        <x:v>81255.51000000001</x:v>
      </x:c>
    </x:row>
    <x:row r="59">
      <x:c r="A59" s="1" t="str">
        <x:v>INV60</x:v>
      </x:c>
      <x:c r="B59" s="1" t="str">
        <x:v>PO0060</x:v>
      </x:c>
      <x:c r="C59" s="5" t="n">
        <x:v>46059</x:v>
      </x:c>
      <x:c r="D59" s="5" t="n">
        <x:v>46104</x:v>
      </x:c>
      <x:c r="E59" s="1" t="n">
        <x:v>3999</x:v>
      </x:c>
      <x:c r="F59" s="6" t="n">
        <x:v>16.73</x:v>
      </x:c>
      <x:c r="G59" s="1" t="str">
        <x:v>None</x:v>
      </x:c>
      <x:c r="H59" s="5" t="n">
        <x:v>46059</x:v>
      </x:c>
      <x:c r="I59" s="5" t="n">
        <x:v>46108</x:v>
      </x:c>
      <x:c r="J59" s="10" t="n">
        <x:f>E59*F59</x:f>
        <x:v>66903.27</x:v>
      </x:c>
    </x:row>
    <x:row r="60">
      <x:c r="A60" s="1" t="str">
        <x:v>INV61</x:v>
      </x:c>
      <x:c r="B60" s="1" t="str">
        <x:v>PO0061</x:v>
      </x:c>
      <x:c r="C60" s="5" t="n">
        <x:v>46222</x:v>
      </x:c>
      <x:c r="D60" s="5" t="n">
        <x:v>46252</x:v>
      </x:c>
      <x:c r="E60" s="1" t="n">
        <x:v>1290</x:v>
      </x:c>
      <x:c r="F60" s="6" t="n">
        <x:v>11.6</x:v>
      </x:c>
      <x:c r="G60" s="1" t="str">
        <x:v>None</x:v>
      </x:c>
      <x:c r="H60" s="5" t="n">
        <x:v>46222</x:v>
      </x:c>
      <x:c r="I60" s="5" t="n">
        <x:v>46258</x:v>
      </x:c>
      <x:c r="J60" s="10" t="n">
        <x:f>E60*F60</x:f>
        <x:v>14964</x:v>
      </x:c>
    </x:row>
    <x:row r="61">
      <x:c r="A61" s="1" t="str">
        <x:v>INV62</x:v>
      </x:c>
      <x:c r="B61" s="1" t="str">
        <x:v>PO0062</x:v>
      </x:c>
      <x:c r="C61" s="5" t="n">
        <x:v>46165</x:v>
      </x:c>
      <x:c r="D61" s="5" t="n">
        <x:v>46225</x:v>
      </x:c>
      <x:c r="E61" s="1" t="n">
        <x:v>394</x:v>
      </x:c>
      <x:c r="F61" s="6" t="n">
        <x:v>18.63</x:v>
      </x:c>
      <x:c r="G61" s="1" t="str">
        <x:v>None</x:v>
      </x:c>
      <x:c r="H61" s="5" t="n">
        <x:v>46165</x:v>
      </x:c>
      <x:c r="I61" s="5" t="n">
        <x:v>46229</x:v>
      </x:c>
      <x:c r="J61" s="10" t="n">
        <x:f>E61*F61</x:f>
        <x:v>7340.219999999999</x:v>
      </x:c>
    </x:row>
    <x:row r="62">
      <x:c r="A62" s="1" t="str">
        <x:v>INV63</x:v>
      </x:c>
      <x:c r="B62" s="1" t="str">
        <x:v>PO0063</x:v>
      </x:c>
      <x:c r="C62" s="5" t="n">
        <x:v>46237</x:v>
      </x:c>
      <x:c r="D62" s="5" t="n">
        <x:v>46297</x:v>
      </x:c>
      <x:c r="E62" s="1" t="n">
        <x:v>3086</x:v>
      </x:c>
      <x:c r="F62" s="6" t="n">
        <x:v>6.12</x:v>
      </x:c>
      <x:c r="G62" s="1" t="str">
        <x:v>Quantity mismatch</x:v>
      </x:c>
      <x:c r="H62" s="5" t="n">
        <x:v>46247</x:v>
      </x:c>
      <x:c r="I62" s="5"/>
      <x:c r="J62" s="10" t="n">
        <x:f>E62*F62</x:f>
        <x:v>18886.32</x:v>
      </x:c>
    </x:row>
    <x:row r="63">
      <x:c r="A63" s="1" t="str">
        <x:v>INV64</x:v>
      </x:c>
      <x:c r="B63" s="1" t="str">
        <x:v>PO0064</x:v>
      </x:c>
      <x:c r="C63" s="5" t="n">
        <x:v>46278</x:v>
      </x:c>
      <x:c r="D63" s="5" t="n">
        <x:v>46338</x:v>
      </x:c>
      <x:c r="E63" s="1" t="n">
        <x:v>1222</x:v>
      </x:c>
      <x:c r="F63" s="6" t="n">
        <x:v>16.63</x:v>
      </x:c>
      <x:c r="G63" s="1" t="str">
        <x:v>None</x:v>
      </x:c>
      <x:c r="H63" s="5" t="n">
        <x:v>46278</x:v>
      </x:c>
      <x:c r="I63" s="5"/>
      <x:c r="J63" s="10" t="n">
        <x:f>E63*F63</x:f>
        <x:v>20321.86</x:v>
      </x:c>
    </x:row>
    <x:row r="64">
      <x:c r="A64" s="1" t="str">
        <x:v>INV65</x:v>
      </x:c>
      <x:c r="B64" s="1" t="str">
        <x:v>PO0065</x:v>
      </x:c>
      <x:c r="C64" s="5" t="n">
        <x:v>46068</x:v>
      </x:c>
      <x:c r="D64" s="5" t="n">
        <x:v>46113</x:v>
      </x:c>
      <x:c r="E64" s="1" t="n">
        <x:v>3642</x:v>
      </x:c>
      <x:c r="F64" s="6" t="n">
        <x:v>6.91</x:v>
      </x:c>
      <x:c r="G64" s="1" t="str">
        <x:v>None</x:v>
      </x:c>
      <x:c r="H64" s="5" t="n">
        <x:v>46068</x:v>
      </x:c>
      <x:c r="I64" s="5" t="n">
        <x:v>46113</x:v>
      </x:c>
      <x:c r="J64" s="10" t="n">
        <x:f>E64*F64</x:f>
        <x:v>25166.22</x:v>
      </x:c>
    </x:row>
    <x:row r="65">
      <x:c r="A65" s="1" t="str">
        <x:v>INV66</x:v>
      </x:c>
      <x:c r="B65" s="1" t="str">
        <x:v>PO0066</x:v>
      </x:c>
      <x:c r="C65" s="5" t="n">
        <x:v>46062</x:v>
      </x:c>
      <x:c r="D65" s="5" t="n">
        <x:v>46092</x:v>
      </x:c>
      <x:c r="E65" s="1" t="n">
        <x:v>312</x:v>
      </x:c>
      <x:c r="F65" s="6" t="n">
        <x:v>13.27</x:v>
      </x:c>
      <x:c r="G65" s="1" t="str">
        <x:v>Missing documentation</x:v>
      </x:c>
      <x:c r="H65" s="5" t="n">
        <x:v>46077</x:v>
      </x:c>
      <x:c r="I65" s="5" t="n">
        <x:v>46092</x:v>
      </x:c>
      <x:c r="J65" s="10" t="n">
        <x:f>E65*F65</x:f>
        <x:v>4140.24</x:v>
      </x:c>
    </x:row>
    <x:row r="66">
      <x:c r="A66" s="1" t="str">
        <x:v>INV67</x:v>
      </x:c>
      <x:c r="B66" s="1" t="str">
        <x:v>PO0067</x:v>
      </x:c>
      <x:c r="C66" s="5" t="n">
        <x:v>46128</x:v>
      </x:c>
      <x:c r="D66" s="5" t="n">
        <x:v>46188</x:v>
      </x:c>
      <x:c r="E66" s="1" t="n">
        <x:v>598</x:v>
      </x:c>
      <x:c r="F66" s="6" t="n">
        <x:v>20.81</x:v>
      </x:c>
      <x:c r="G66" s="1" t="str">
        <x:v>None</x:v>
      </x:c>
      <x:c r="H66" s="5" t="n">
        <x:v>46128</x:v>
      </x:c>
      <x:c r="I66" s="5" t="n">
        <x:v>46195</x:v>
      </x:c>
      <x:c r="J66" s="10" t="n">
        <x:f>E66*F66</x:f>
        <x:v>12444.38</x:v>
      </x:c>
    </x:row>
    <x:row r="67">
      <x:c r="A67" s="1" t="str">
        <x:v>INV68</x:v>
      </x:c>
      <x:c r="B67" s="1" t="str">
        <x:v>PO0068</x:v>
      </x:c>
      <x:c r="C67" s="5" t="n">
        <x:v>46113</x:v>
      </x:c>
      <x:c r="D67" s="5" t="n">
        <x:v>46143</x:v>
      </x:c>
      <x:c r="E67" s="1" t="n">
        <x:v>1090</x:v>
      </x:c>
      <x:c r="F67" s="6" t="n">
        <x:v>23.95</x:v>
      </x:c>
      <x:c r="G67" s="1" t="str">
        <x:v>None</x:v>
      </x:c>
      <x:c r="H67" s="5" t="n">
        <x:v>46113</x:v>
      </x:c>
      <x:c r="I67" s="5" t="n">
        <x:v>46140</x:v>
      </x:c>
      <x:c r="J67" s="10" t="n">
        <x:f>E67*F67</x:f>
        <x:v>26105.5</x:v>
      </x:c>
    </x:row>
    <x:row r="68">
      <x:c r="A68" s="1" t="str">
        <x:v>INV69</x:v>
      </x:c>
      <x:c r="B68" s="1" t="str">
        <x:v>PO0069</x:v>
      </x:c>
      <x:c r="C68" s="5" t="n">
        <x:v>46135</x:v>
      </x:c>
      <x:c r="D68" s="5" t="n">
        <x:v>46165</x:v>
      </x:c>
      <x:c r="E68" s="1" t="n">
        <x:v>4585</x:v>
      </x:c>
      <x:c r="F68" s="6" t="n">
        <x:v>21.46</x:v>
      </x:c>
      <x:c r="G68" s="1" t="str">
        <x:v>None</x:v>
      </x:c>
      <x:c r="H68" s="5" t="n">
        <x:v>46135</x:v>
      </x:c>
      <x:c r="I68" s="5" t="n">
        <x:v>46168</x:v>
      </x:c>
      <x:c r="J68" s="10" t="n">
        <x:f>E68*F68</x:f>
        <x:v>98394.1</x:v>
      </x:c>
    </x:row>
    <x:row r="69">
      <x:c r="A69" s="1" t="str">
        <x:v>INV70</x:v>
      </x:c>
      <x:c r="B69" s="1" t="str">
        <x:v>PO0070</x:v>
      </x:c>
      <x:c r="C69" s="5" t="n">
        <x:v>46255</x:v>
      </x:c>
      <x:c r="D69" s="5" t="n">
        <x:v>46315</x:v>
      </x:c>
      <x:c r="E69" s="1" t="n">
        <x:v>3735</x:v>
      </x:c>
      <x:c r="F69" s="6" t="n">
        <x:v>3.47</x:v>
      </x:c>
      <x:c r="G69" s="1" t="str">
        <x:v>None</x:v>
      </x:c>
      <x:c r="H69" s="5" t="n">
        <x:v>46255</x:v>
      </x:c>
      <x:c r="I69" s="5"/>
      <x:c r="J69" s="10" t="n">
        <x:f>E69*F69</x:f>
        <x:v>12960.45</x:v>
      </x:c>
    </x:row>
    <x:row r="70">
      <x:c r="A70" s="1" t="str">
        <x:v>INV71</x:v>
      </x:c>
      <x:c r="B70" s="1" t="str">
        <x:v>PO0071</x:v>
      </x:c>
      <x:c r="C70" s="5" t="n">
        <x:v>46114</x:v>
      </x:c>
      <x:c r="D70" s="5" t="n">
        <x:v>46144</x:v>
      </x:c>
      <x:c r="E70" s="1" t="n">
        <x:v>360</x:v>
      </x:c>
      <x:c r="F70" s="6" t="n">
        <x:v>11.41</x:v>
      </x:c>
      <x:c r="G70" s="1" t="str">
        <x:v>None</x:v>
      </x:c>
      <x:c r="H70" s="5" t="n">
        <x:v>46114</x:v>
      </x:c>
      <x:c r="I70" s="5" t="n">
        <x:v>46150</x:v>
      </x:c>
      <x:c r="J70" s="10" t="n">
        <x:f>E70*F70</x:f>
        <x:v>4107.6</x:v>
      </x:c>
    </x:row>
    <x:row r="71">
      <x:c r="A71" s="1" t="str">
        <x:v>INV72</x:v>
      </x:c>
      <x:c r="B71" s="1" t="str">
        <x:v>PO0072</x:v>
      </x:c>
      <x:c r="C71" s="5" t="n">
        <x:v>46179</x:v>
      </x:c>
      <x:c r="D71" s="5" t="n">
        <x:v>46224</x:v>
      </x:c>
      <x:c r="E71" s="1" t="n">
        <x:v>4518</x:v>
      </x:c>
      <x:c r="F71" s="6" t="n">
        <x:v>20.92</x:v>
      </x:c>
      <x:c r="G71" s="1" t="str">
        <x:v>None</x:v>
      </x:c>
      <x:c r="H71" s="5" t="n">
        <x:v>46179</x:v>
      </x:c>
      <x:c r="I71" s="5" t="n">
        <x:v>46229</x:v>
      </x:c>
      <x:c r="J71" s="10" t="n">
        <x:f>E71*F71</x:f>
        <x:v>94516.56000000001</x:v>
      </x:c>
    </x:row>
    <x:row r="72">
      <x:c r="A72" s="1" t="str">
        <x:v>INV73</x:v>
      </x:c>
      <x:c r="B72" s="1" t="str">
        <x:v>PO0073</x:v>
      </x:c>
      <x:c r="C72" s="5" t="n">
        <x:v>46206</x:v>
      </x:c>
      <x:c r="D72" s="5" t="n">
        <x:v>46251</x:v>
      </x:c>
      <x:c r="E72" s="1" t="n">
        <x:v>2619</x:v>
      </x:c>
      <x:c r="F72" s="6" t="n">
        <x:v>3.59</x:v>
      </x:c>
      <x:c r="G72" s="1" t="str">
        <x:v>None</x:v>
      </x:c>
      <x:c r="H72" s="5" t="n">
        <x:v>46206</x:v>
      </x:c>
      <x:c r="I72" s="5" t="n">
        <x:v>46248</x:v>
      </x:c>
      <x:c r="J72" s="10" t="n">
        <x:f>E72*F72</x:f>
        <x:v>9402.21</x:v>
      </x:c>
    </x:row>
    <x:row r="73">
      <x:c r="A73" s="1" t="str">
        <x:v>INV75</x:v>
      </x:c>
      <x:c r="B73" s="1" t="str">
        <x:v>PO0075</x:v>
      </x:c>
      <x:c r="C73" s="5" t="n">
        <x:v>46228</x:v>
      </x:c>
      <x:c r="D73" s="5" t="n">
        <x:v>46273</x:v>
      </x:c>
      <x:c r="E73" s="1" t="n">
        <x:v>2458</x:v>
      </x:c>
      <x:c r="F73" s="6" t="n">
        <x:v>23.49</x:v>
      </x:c>
      <x:c r="G73" s="1" t="str">
        <x:v>None</x:v>
      </x:c>
      <x:c r="H73" s="5" t="n">
        <x:v>46228</x:v>
      </x:c>
      <x:c r="I73" s="5" t="n">
        <x:v>46277</x:v>
      </x:c>
      <x:c r="J73" s="10" t="n">
        <x:f>E73*F73</x:f>
        <x:v>57738.42</x:v>
      </x:c>
    </x:row>
    <x:row r="74">
      <x:c r="A74" s="1" t="str">
        <x:v>INV76</x:v>
      </x:c>
      <x:c r="B74" s="1" t="str">
        <x:v>PO0076</x:v>
      </x:c>
      <x:c r="C74" s="5" t="n">
        <x:v>46137</x:v>
      </x:c>
      <x:c r="D74" s="5" t="n">
        <x:v>46167</x:v>
      </x:c>
      <x:c r="E74" s="1" t="n">
        <x:v>3909</x:v>
      </x:c>
      <x:c r="F74" s="6" t="n">
        <x:v>12.19</x:v>
      </x:c>
      <x:c r="G74" s="1" t="str">
        <x:v>None</x:v>
      </x:c>
      <x:c r="H74" s="5" t="n">
        <x:v>46137</x:v>
      </x:c>
      <x:c r="I74" s="5" t="n">
        <x:v>46174</x:v>
      </x:c>
      <x:c r="J74" s="10" t="n">
        <x:f>E74*F74</x:f>
        <x:v>47650.71</x:v>
      </x:c>
    </x:row>
    <x:row r="75">
      <x:c r="A75" s="1" t="str">
        <x:v>INV77</x:v>
      </x:c>
      <x:c r="B75" s="1" t="str">
        <x:v>PO0077</x:v>
      </x:c>
      <x:c r="C75" s="5" t="n">
        <x:v>46109</x:v>
      </x:c>
      <x:c r="D75" s="5" t="n">
        <x:v>46169</x:v>
      </x:c>
      <x:c r="E75" s="1" t="n">
        <x:v>2800</x:v>
      </x:c>
      <x:c r="F75" s="6" t="n">
        <x:v>20.51</x:v>
      </x:c>
      <x:c r="G75" s="1" t="str">
        <x:v>None</x:v>
      </x:c>
      <x:c r="H75" s="5" t="n">
        <x:v>46109</x:v>
      </x:c>
      <x:c r="I75" s="5" t="n">
        <x:v>46172</x:v>
      </x:c>
      <x:c r="J75" s="10" t="n">
        <x:f>E75*F75</x:f>
        <x:v>57428.00000000001</x:v>
      </x:c>
    </x:row>
    <x:row r="76">
      <x:c r="A76" s="1" t="str">
        <x:v>INV78</x:v>
      </x:c>
      <x:c r="B76" s="1" t="str">
        <x:v>PO0078</x:v>
      </x:c>
      <x:c r="C76" s="5" t="n">
        <x:v>46055</x:v>
      </x:c>
      <x:c r="D76" s="5" t="n">
        <x:v>46085</x:v>
      </x:c>
      <x:c r="E76" s="1" t="n">
        <x:v>1111</x:v>
      </x:c>
      <x:c r="F76" s="6" t="n">
        <x:v>10.45</x:v>
      </x:c>
      <x:c r="G76" s="1" t="str">
        <x:v>None</x:v>
      </x:c>
      <x:c r="H76" s="5" t="n">
        <x:v>46055</x:v>
      </x:c>
      <x:c r="I76" s="5" t="n">
        <x:v>46093</x:v>
      </x:c>
      <x:c r="J76" s="10" t="n">
        <x:f>E76*F76</x:f>
        <x:v>11609.949999999999</x:v>
      </x:c>
    </x:row>
    <x:row r="77">
      <x:c r="A77" s="1" t="str">
        <x:v>INV79</x:v>
      </x:c>
      <x:c r="B77" s="1" t="str">
        <x:v>PO0079</x:v>
      </x:c>
      <x:c r="C77" s="5" t="n">
        <x:v>46250</x:v>
      </x:c>
      <x:c r="D77" s="5" t="n">
        <x:v>46295</x:v>
      </x:c>
      <x:c r="E77" s="1" t="n">
        <x:v>2934</x:v>
      </x:c>
      <x:c r="F77" s="6" t="n">
        <x:v>15.43</x:v>
      </x:c>
      <x:c r="G77" s="1" t="str">
        <x:v>None</x:v>
      </x:c>
      <x:c r="H77" s="5" t="n">
        <x:v>46250</x:v>
      </x:c>
      <x:c r="I77" s="5"/>
      <x:c r="J77" s="10" t="n">
        <x:f>E77*F77</x:f>
        <x:v>45271.62</x:v>
      </x:c>
    </x:row>
    <x:row r="78">
      <x:c r="A78" s="1" t="str">
        <x:v>INV80</x:v>
      </x:c>
      <x:c r="B78" s="1" t="str">
        <x:v>PO0080</x:v>
      </x:c>
      <x:c r="C78" s="5" t="n">
        <x:v>46100</x:v>
      </x:c>
      <x:c r="D78" s="5" t="n">
        <x:v>46145</x:v>
      </x:c>
      <x:c r="E78" s="1" t="n">
        <x:v>3459</x:v>
      </x:c>
      <x:c r="F78" s="6" t="n">
        <x:v>16.5</x:v>
      </x:c>
      <x:c r="G78" s="1" t="str">
        <x:v>Missing documentation</x:v>
      </x:c>
      <x:c r="H78" s="5" t="n">
        <x:v>46112</x:v>
      </x:c>
      <x:c r="I78" s="5" t="n">
        <x:v>46142</x:v>
      </x:c>
      <x:c r="J78" s="10" t="n">
        <x:f>E78*F78</x:f>
        <x:v>57073.5</x:v>
      </x:c>
    </x:row>
    <x:row r="79">
      <x:c r="A79" s="1" t="str">
        <x:v>INV81</x:v>
      </x:c>
      <x:c r="B79" s="1" t="str">
        <x:v>PO0081</x:v>
      </x:c>
      <x:c r="C79" s="5" t="n">
        <x:v>46156</x:v>
      </x:c>
      <x:c r="D79" s="5" t="n">
        <x:v>46186</x:v>
      </x:c>
      <x:c r="E79" s="1" t="n">
        <x:v>2910</x:v>
      </x:c>
      <x:c r="F79" s="6" t="n">
        <x:v>9.41</x:v>
      </x:c>
      <x:c r="G79" s="1" t="str">
        <x:v>None</x:v>
      </x:c>
      <x:c r="H79" s="5" t="n">
        <x:v>46156</x:v>
      </x:c>
      <x:c r="I79" s="5" t="n">
        <x:v>46184</x:v>
      </x:c>
      <x:c r="J79" s="10" t="n">
        <x:f>E79*F79</x:f>
        <x:v>27383.100000000002</x:v>
      </x:c>
    </x:row>
    <x:row r="80">
      <x:c r="A80" s="1" t="str">
        <x:v>INV82</x:v>
      </x:c>
      <x:c r="B80" s="1" t="str">
        <x:v>PO0082</x:v>
      </x:c>
      <x:c r="C80" s="5" t="n">
        <x:v>46100</x:v>
      </x:c>
      <x:c r="D80" s="5" t="n">
        <x:v>46130</x:v>
      </x:c>
      <x:c r="E80" s="1" t="n">
        <x:v>1802</x:v>
      </x:c>
      <x:c r="F80" s="6" t="n">
        <x:v>24.52</x:v>
      </x:c>
      <x:c r="G80" s="1" t="str">
        <x:v>None</x:v>
      </x:c>
      <x:c r="H80" s="5" t="n">
        <x:v>46100</x:v>
      </x:c>
      <x:c r="I80" s="5" t="n">
        <x:v>46133</x:v>
      </x:c>
      <x:c r="J80" s="10" t="n">
        <x:f>E80*F80</x:f>
        <x:v>44185.04</x:v>
      </x:c>
    </x:row>
    <x:row r="81">
      <x:c r="A81" s="1" t="str">
        <x:v>INV83</x:v>
      </x:c>
      <x:c r="B81" s="1" t="str">
        <x:v>PO0083</x:v>
      </x:c>
      <x:c r="C81" s="5" t="n">
        <x:v>46294</x:v>
      </x:c>
      <x:c r="D81" s="5" t="n">
        <x:v>46354</x:v>
      </x:c>
      <x:c r="E81" s="1" t="n">
        <x:v>3449</x:v>
      </x:c>
      <x:c r="F81" s="6" t="n">
        <x:v>15.68</x:v>
      </x:c>
      <x:c r="G81" s="1" t="str">
        <x:v>None</x:v>
      </x:c>
      <x:c r="H81" s="5" t="n">
        <x:v>46294</x:v>
      </x:c>
      <x:c r="I81" s="5"/>
      <x:c r="J81" s="10" t="n">
        <x:f>E81*F81</x:f>
        <x:v>54080.32</x:v>
      </x:c>
    </x:row>
    <x:row r="82">
      <x:c r="A82" s="1" t="str">
        <x:v>INV84</x:v>
      </x:c>
      <x:c r="B82" s="1" t="str">
        <x:v>PO0084</x:v>
      </x:c>
      <x:c r="C82" s="5" t="n">
        <x:v>46140</x:v>
      </x:c>
      <x:c r="D82" s="5" t="n">
        <x:v>46200</x:v>
      </x:c>
      <x:c r="E82" s="1" t="n">
        <x:v>2875</x:v>
      </x:c>
      <x:c r="F82" s="6" t="n">
        <x:v>7.67</x:v>
      </x:c>
      <x:c r="G82" s="1" t="str">
        <x:v>None</x:v>
      </x:c>
      <x:c r="H82" s="5" t="n">
        <x:v>46140</x:v>
      </x:c>
      <x:c r="I82" s="5" t="n">
        <x:v>46203</x:v>
      </x:c>
      <x:c r="J82" s="10" t="n">
        <x:f>E82*F82</x:f>
        <x:v>22051.25</x:v>
      </x:c>
    </x:row>
    <x:row r="83">
      <x:c r="A83" s="1" t="str">
        <x:v>INV85</x:v>
      </x:c>
      <x:c r="B83" s="1" t="str">
        <x:v>PO0085</x:v>
      </x:c>
      <x:c r="C83" s="5" t="n">
        <x:v>46263</x:v>
      </x:c>
      <x:c r="D83" s="5" t="n">
        <x:v>46293</x:v>
      </x:c>
      <x:c r="E83" s="1" t="n">
        <x:v>3428</x:v>
      </x:c>
      <x:c r="F83" s="6" t="n">
        <x:v>6.83</x:v>
      </x:c>
      <x:c r="G83" s="1" t="str">
        <x:v>None</x:v>
      </x:c>
      <x:c r="H83" s="5" t="n">
        <x:v>46263</x:v>
      </x:c>
      <x:c r="I83" s="5"/>
      <x:c r="J83" s="10" t="n">
        <x:f>E83*F83</x:f>
        <x:v>23413.24</x:v>
      </x:c>
    </x:row>
    <x:row r="84">
      <x:c r="A84" s="1" t="str">
        <x:v>INV86</x:v>
      </x:c>
      <x:c r="B84" s="1" t="str">
        <x:v>PO0086</x:v>
      </x:c>
      <x:c r="C84" s="5" t="n">
        <x:v>46219</x:v>
      </x:c>
      <x:c r="D84" s="5" t="n">
        <x:v>46264</x:v>
      </x:c>
      <x:c r="E84" s="1" t="n">
        <x:v>2610</x:v>
      </x:c>
      <x:c r="F84" s="6" t="n">
        <x:v>7.54</x:v>
      </x:c>
      <x:c r="G84" s="1" t="str">
        <x:v>None</x:v>
      </x:c>
      <x:c r="H84" s="5" t="n">
        <x:v>46219</x:v>
      </x:c>
      <x:c r="I84" s="5" t="n">
        <x:v>46268</x:v>
      </x:c>
      <x:c r="J84" s="10" t="n">
        <x:f>E84*F84</x:f>
        <x:v>19679.4</x:v>
      </x:c>
    </x:row>
    <x:row r="85">
      <x:c r="A85" s="1" t="str">
        <x:v>INV87</x:v>
      </x:c>
      <x:c r="B85" s="1" t="str">
        <x:v>PO0087</x:v>
      </x:c>
      <x:c r="C85" s="5" t="n">
        <x:v>46120</x:v>
      </x:c>
      <x:c r="D85" s="5" t="n">
        <x:v>46165</x:v>
      </x:c>
      <x:c r="E85" s="1" t="n">
        <x:v>999</x:v>
      </x:c>
      <x:c r="F85" s="6" t="n">
        <x:v>16.25</x:v>
      </x:c>
      <x:c r="G85" s="1" t="str">
        <x:v>None</x:v>
      </x:c>
      <x:c r="H85" s="5" t="n">
        <x:v>46120</x:v>
      </x:c>
      <x:c r="I85" s="5" t="n">
        <x:v>46166</x:v>
      </x:c>
      <x:c r="J85" s="10" t="n">
        <x:f>E85*F85</x:f>
        <x:v>16233.75</x:v>
      </x:c>
    </x:row>
    <x:row r="86">
      <x:c r="A86" s="1" t="str">
        <x:v>INV88</x:v>
      </x:c>
      <x:c r="B86" s="1" t="str">
        <x:v>PO0088</x:v>
      </x:c>
      <x:c r="C86" s="5" t="n">
        <x:v>46144</x:v>
      </x:c>
      <x:c r="D86" s="5" t="n">
        <x:v>46189</x:v>
      </x:c>
      <x:c r="E86" s="1" t="n">
        <x:v>4615</x:v>
      </x:c>
      <x:c r="F86" s="6" t="n">
        <x:v>11.31</x:v>
      </x:c>
      <x:c r="G86" s="1" t="str">
        <x:v>None</x:v>
      </x:c>
      <x:c r="H86" s="5" t="n">
        <x:v>46144</x:v>
      </x:c>
      <x:c r="I86" s="5" t="n">
        <x:v>46188</x:v>
      </x:c>
      <x:c r="J86" s="10" t="n">
        <x:f>E86*F86</x:f>
        <x:v>52195.65</x:v>
      </x:c>
    </x:row>
    <x:row r="87">
      <x:c r="A87" s="1" t="str">
        <x:v>INV89</x:v>
      </x:c>
      <x:c r="B87" s="1" t="str">
        <x:v>PO0089</x:v>
      </x:c>
      <x:c r="C87" s="5" t="n">
        <x:v>46250</x:v>
      </x:c>
      <x:c r="D87" s="5" t="n">
        <x:v>46310</x:v>
      </x:c>
      <x:c r="E87" s="1" t="n">
        <x:v>4679</x:v>
      </x:c>
      <x:c r="F87" s="6" t="n">
        <x:v>3.56</x:v>
      </x:c>
      <x:c r="G87" s="1" t="str">
        <x:v>None</x:v>
      </x:c>
      <x:c r="H87" s="5" t="n">
        <x:v>46250</x:v>
      </x:c>
      <x:c r="I87" s="5"/>
      <x:c r="J87" s="10" t="n">
        <x:f>E87*F87</x:f>
        <x:v>16657.24</x:v>
      </x:c>
    </x:row>
    <x:row r="88">
      <x:c r="A88" s="1" t="str">
        <x:v>INV90</x:v>
      </x:c>
      <x:c r="B88" s="1" t="str">
        <x:v>PO0090</x:v>
      </x:c>
      <x:c r="C88" s="5" t="n">
        <x:v>46182</x:v>
      </x:c>
      <x:c r="D88" s="5" t="n">
        <x:v>46227</x:v>
      </x:c>
      <x:c r="E88" s="1" t="n">
        <x:v>3674</x:v>
      </x:c>
      <x:c r="F88" s="6" t="n">
        <x:v>8.12</x:v>
      </x:c>
      <x:c r="G88" s="1" t="str">
        <x:v>None</x:v>
      </x:c>
      <x:c r="H88" s="5" t="n">
        <x:v>46182</x:v>
      </x:c>
      <x:c r="I88" s="5" t="n">
        <x:v>46224</x:v>
      </x:c>
      <x:c r="J88" s="10" t="n">
        <x:f>E88*F88</x:f>
        <x:v>29832.879999999997</x:v>
      </x:c>
    </x:row>
    <x:row r="89">
      <x:c r="A89" s="1" t="str">
        <x:v>INV91</x:v>
      </x:c>
      <x:c r="B89" s="1" t="str">
        <x:v>PO0091</x:v>
      </x:c>
      <x:c r="C89" s="5" t="n">
        <x:v>46268</x:v>
      </x:c>
      <x:c r="D89" s="5" t="n">
        <x:v>46298</x:v>
      </x:c>
      <x:c r="E89" s="1" t="n">
        <x:v>2411</x:v>
      </x:c>
      <x:c r="F89" s="6" t="n">
        <x:v>7.96</x:v>
      </x:c>
      <x:c r="G89" s="1" t="str">
        <x:v>None</x:v>
      </x:c>
      <x:c r="H89" s="5" t="n">
        <x:v>46268</x:v>
      </x:c>
      <x:c r="I89" s="5"/>
      <x:c r="J89" s="10" t="n">
        <x:f>E89*F89</x:f>
        <x:v>19191.56</x:v>
      </x:c>
    </x:row>
    <x:row r="90">
      <x:c r="A90" s="1" t="str">
        <x:v>INV92</x:v>
      </x:c>
      <x:c r="B90" s="1" t="str">
        <x:v>PO0092</x:v>
      </x:c>
      <x:c r="C90" s="5" t="n">
        <x:v>46098</x:v>
      </x:c>
      <x:c r="D90" s="5" t="n">
        <x:v>46143</x:v>
      </x:c>
      <x:c r="E90" s="1" t="n">
        <x:v>2565</x:v>
      </x:c>
      <x:c r="F90" s="6" t="n">
        <x:v>20.15</x:v>
      </x:c>
      <x:c r="G90" s="1" t="str">
        <x:v>None</x:v>
      </x:c>
      <x:c r="H90" s="5" t="n">
        <x:v>46098</x:v>
      </x:c>
      <x:c r="I90" s="5" t="n">
        <x:v>46147</x:v>
      </x:c>
      <x:c r="J90" s="10" t="n">
        <x:f>E90*F90</x:f>
        <x:v>51684.74999999999</x:v>
      </x:c>
    </x:row>
    <x:row r="91">
      <x:c r="A91" s="1" t="str">
        <x:v>INV93</x:v>
      </x:c>
      <x:c r="B91" s="1" t="str">
        <x:v>PO0093</x:v>
      </x:c>
      <x:c r="C91" s="5" t="n">
        <x:v>46068</x:v>
      </x:c>
      <x:c r="D91" s="5" t="n">
        <x:v>46128</x:v>
      </x:c>
      <x:c r="E91" s="1" t="n">
        <x:v>2281</x:v>
      </x:c>
      <x:c r="F91" s="6" t="n">
        <x:v>21.01</x:v>
      </x:c>
      <x:c r="G91" s="1" t="str">
        <x:v>None</x:v>
      </x:c>
      <x:c r="H91" s="5" t="n">
        <x:v>46068</x:v>
      </x:c>
      <x:c r="I91" s="5" t="n">
        <x:v>46130</x:v>
      </x:c>
      <x:c r="J91" s="10" t="n">
        <x:f>E91*F91</x:f>
        <x:v>47923.810000000005</x:v>
      </x:c>
    </x:row>
    <x:row r="92">
      <x:c r="A92" s="1" t="str">
        <x:v>INV94</x:v>
      </x:c>
      <x:c r="B92" s="1" t="str">
        <x:v>PO0094</x:v>
      </x:c>
      <x:c r="C92" s="5" t="n">
        <x:v>46135</x:v>
      </x:c>
      <x:c r="D92" s="5" t="n">
        <x:v>46180</x:v>
      </x:c>
      <x:c r="E92" s="1" t="n">
        <x:v>2245</x:v>
      </x:c>
      <x:c r="F92" s="6" t="n">
        <x:v>21.2</x:v>
      </x:c>
      <x:c r="G92" s="1" t="str">
        <x:v>None</x:v>
      </x:c>
      <x:c r="H92" s="5" t="n">
        <x:v>46135</x:v>
      </x:c>
      <x:c r="I92" s="5" t="n">
        <x:v>46182</x:v>
      </x:c>
      <x:c r="J92" s="10" t="n">
        <x:f>E92*F92</x:f>
        <x:v>47594</x:v>
      </x:c>
    </x:row>
    <x:row r="93">
      <x:c r="A93" s="1" t="str">
        <x:v>INV95</x:v>
      </x:c>
      <x:c r="B93" s="1" t="str">
        <x:v>PO0095</x:v>
      </x:c>
      <x:c r="C93" s="5" t="n">
        <x:v>46128</x:v>
      </x:c>
      <x:c r="D93" s="5" t="n">
        <x:v>46173</x:v>
      </x:c>
      <x:c r="E93" s="1" t="n">
        <x:v>1284</x:v>
      </x:c>
      <x:c r="F93" s="6" t="n">
        <x:v>11.01</x:v>
      </x:c>
      <x:c r="G93" s="1" t="str">
        <x:v>None</x:v>
      </x:c>
      <x:c r="H93" s="5" t="n">
        <x:v>46128</x:v>
      </x:c>
      <x:c r="I93" s="5" t="n">
        <x:v>46178</x:v>
      </x:c>
      <x:c r="J93" s="10" t="n">
        <x:f>E93*F93</x:f>
        <x:v>14136.84</x:v>
      </x:c>
    </x:row>
    <x:row r="94">
      <x:c r="A94" s="1" t="str">
        <x:v>INV96</x:v>
      </x:c>
      <x:c r="B94" s="1" t="str">
        <x:v>PO0096</x:v>
      </x:c>
      <x:c r="C94" s="5" t="n">
        <x:v>46077</x:v>
      </x:c>
      <x:c r="D94" s="5" t="n">
        <x:v>46107</x:v>
      </x:c>
      <x:c r="E94" s="1" t="n">
        <x:v>2876</x:v>
      </x:c>
      <x:c r="F94" s="6" t="n">
        <x:v>6.78</x:v>
      </x:c>
      <x:c r="G94" s="1" t="str">
        <x:v>None</x:v>
      </x:c>
      <x:c r="H94" s="5" t="n">
        <x:v>46077</x:v>
      </x:c>
      <x:c r="I94" s="5" t="n">
        <x:v>46112</x:v>
      </x:c>
      <x:c r="J94" s="10" t="n">
        <x:f>E94*F94</x:f>
        <x:v>19499.280000000002</x:v>
      </x:c>
    </x:row>
    <x:row r="95">
      <x:c r="A95" s="1" t="str">
        <x:v>INV97</x:v>
      </x:c>
      <x:c r="B95" s="1" t="str">
        <x:v>PO0097</x:v>
      </x:c>
      <x:c r="C95" s="5" t="n">
        <x:v>46276</x:v>
      </x:c>
      <x:c r="D95" s="5" t="n">
        <x:v>46336</x:v>
      </x:c>
      <x:c r="E95" s="1" t="n">
        <x:v>2889</x:v>
      </x:c>
      <x:c r="F95" s="6" t="n">
        <x:v>3.05</x:v>
      </x:c>
      <x:c r="G95" s="1" t="str">
        <x:v>Price mismatch</x:v>
      </x:c>
      <x:c r="H95" s="5" t="n">
        <x:v>46286</x:v>
      </x:c>
      <x:c r="I95" s="5"/>
      <x:c r="J95" s="10" t="n">
        <x:f>E95*F95</x:f>
        <x:v>8811.449999999999</x:v>
      </x:c>
    </x:row>
    <x:row r="96">
      <x:c r="A96" s="1" t="str">
        <x:v>INV98</x:v>
      </x:c>
      <x:c r="B96" s="1" t="str">
        <x:v>PO0098</x:v>
      </x:c>
      <x:c r="C96" s="5" t="n">
        <x:v>46119</x:v>
      </x:c>
      <x:c r="D96" s="5" t="n">
        <x:v>46179</x:v>
      </x:c>
      <x:c r="E96" s="1" t="n">
        <x:v>746</x:v>
      </x:c>
      <x:c r="F96" s="6" t="n">
        <x:v>18.88</x:v>
      </x:c>
      <x:c r="G96" s="1" t="str">
        <x:v>None</x:v>
      </x:c>
      <x:c r="H96" s="5" t="n">
        <x:v>46119</x:v>
      </x:c>
      <x:c r="I96" s="5" t="n">
        <x:v>46182</x:v>
      </x:c>
      <x:c r="J96" s="10" t="n">
        <x:f>E96*F96</x:f>
        <x:v>14084.48</x:v>
      </x:c>
    </x:row>
    <x:row r="97">
      <x:c r="A97" s="1" t="str">
        <x:v>INV99</x:v>
      </x:c>
      <x:c r="B97" s="1" t="str">
        <x:v>PO0099</x:v>
      </x:c>
      <x:c r="C97" s="5" t="n">
        <x:v>46236</x:v>
      </x:c>
      <x:c r="D97" s="5" t="n">
        <x:v>46281</x:v>
      </x:c>
      <x:c r="E97" s="1" t="n">
        <x:v>574</x:v>
      </x:c>
      <x:c r="F97" s="6" t="n">
        <x:v>5.38</x:v>
      </x:c>
      <x:c r="G97" s="1" t="str">
        <x:v>None</x:v>
      </x:c>
      <x:c r="H97" s="5" t="n">
        <x:v>46236</x:v>
      </x:c>
      <x:c r="I97" s="5" t="n">
        <x:v>46287</x:v>
      </x:c>
      <x:c r="J97" s="10" t="n">
        <x:f>E97*F97</x:f>
        <x:v>3088.12</x:v>
      </x:c>
    </x:row>
    <x:row r="98">
      <x:c r="A98" s="1" t="str">
        <x:v>INV100</x:v>
      </x:c>
      <x:c r="B98" s="1" t="str">
        <x:v>PO0100</x:v>
      </x:c>
      <x:c r="C98" s="5" t="n">
        <x:v>46135</x:v>
      </x:c>
      <x:c r="D98" s="5" t="n">
        <x:v>46165</x:v>
      </x:c>
      <x:c r="E98" s="1" t="n">
        <x:v>112</x:v>
      </x:c>
      <x:c r="F98" s="6" t="n">
        <x:v>17.05</x:v>
      </x:c>
      <x:c r="G98" s="1" t="str">
        <x:v>None</x:v>
      </x:c>
      <x:c r="H98" s="5" t="n">
        <x:v>46135</x:v>
      </x:c>
      <x:c r="I98" s="5" t="n">
        <x:v>46163</x:v>
      </x:c>
      <x:c r="J98" s="10" t="n">
        <x:f>E98*F98</x:f>
        <x:v>1909.6000000000001</x:v>
      </x:c>
    </x:row>
    <x:row r="99">
      <x:c r="A99" s="1" t="str">
        <x:v>INV101</x:v>
      </x:c>
      <x:c r="B99" s="1" t="str">
        <x:v>PO0101</x:v>
      </x:c>
      <x:c r="C99" s="5" t="n">
        <x:v>46080</x:v>
      </x:c>
      <x:c r="D99" s="5" t="n">
        <x:v>46125</x:v>
      </x:c>
      <x:c r="E99" s="1" t="n">
        <x:v>2856</x:v>
      </x:c>
      <x:c r="F99" s="6" t="n">
        <x:v>8.78</x:v>
      </x:c>
      <x:c r="G99" s="1" t="str">
        <x:v>None</x:v>
      </x:c>
      <x:c r="H99" s="5" t="n">
        <x:v>46080</x:v>
      </x:c>
      <x:c r="I99" s="5" t="n">
        <x:v>46127</x:v>
      </x:c>
      <x:c r="J99" s="10" t="n">
        <x:f>E99*F99</x:f>
        <x:v>25075.679999999997</x:v>
      </x:c>
    </x:row>
    <x:row r="100">
      <x:c r="A100" s="1" t="str">
        <x:v>INV102</x:v>
      </x:c>
      <x:c r="B100" s="1" t="str">
        <x:v>PO0102</x:v>
      </x:c>
      <x:c r="C100" s="5" t="n">
        <x:v>46183</x:v>
      </x:c>
      <x:c r="D100" s="5" t="n">
        <x:v>46243</x:v>
      </x:c>
      <x:c r="E100" s="1" t="n">
        <x:v>706</x:v>
      </x:c>
      <x:c r="F100" s="6" t="n">
        <x:v>20.79</x:v>
      </x:c>
      <x:c r="G100" s="1" t="str">
        <x:v>None</x:v>
      </x:c>
      <x:c r="H100" s="5" t="n">
        <x:v>46183</x:v>
      </x:c>
      <x:c r="I100" s="5" t="n">
        <x:v>46249</x:v>
      </x:c>
      <x:c r="J100" s="10" t="n">
        <x:f>E100*F100</x:f>
        <x:v>14677.74</x:v>
      </x:c>
    </x:row>
    <x:row r="101">
      <x:c r="A101" s="1" t="str">
        <x:v>INV103</x:v>
      </x:c>
      <x:c r="B101" s="1" t="str">
        <x:v>PO0103</x:v>
      </x:c>
      <x:c r="C101" s="5" t="n">
        <x:v>46082</x:v>
      </x:c>
      <x:c r="D101" s="5" t="n">
        <x:v>46127</x:v>
      </x:c>
      <x:c r="E101" s="1" t="n">
        <x:v>4117</x:v>
      </x:c>
      <x:c r="F101" s="6" t="n">
        <x:v>1.81</x:v>
      </x:c>
      <x:c r="G101" s="1" t="str">
        <x:v>None</x:v>
      </x:c>
      <x:c r="H101" s="5" t="n">
        <x:v>46082</x:v>
      </x:c>
      <x:c r="I101" s="5" t="n">
        <x:v>46127</x:v>
      </x:c>
      <x:c r="J101" s="10" t="n">
        <x:f>E101*F101</x:f>
        <x:v>7451.77</x:v>
      </x:c>
    </x:row>
    <x:row r="102">
      <x:c r="A102" s="1" t="str">
        <x:v>INV104</x:v>
      </x:c>
      <x:c r="B102" s="1" t="str">
        <x:v>PO0104</x:v>
      </x:c>
      <x:c r="C102" s="5" t="n">
        <x:v>46206</x:v>
      </x:c>
      <x:c r="D102" s="5" t="n">
        <x:v>46266</x:v>
      </x:c>
      <x:c r="E102" s="1" t="n">
        <x:v>2038</x:v>
      </x:c>
      <x:c r="F102" s="6" t="n">
        <x:v>17.11</x:v>
      </x:c>
      <x:c r="G102" s="1" t="str">
        <x:v>None</x:v>
      </x:c>
      <x:c r="H102" s="5" t="n">
        <x:v>46206</x:v>
      </x:c>
      <x:c r="I102" s="5" t="n">
        <x:v>46264</x:v>
      </x:c>
      <x:c r="J102" s="10" t="n">
        <x:f>E102*F102</x:f>
        <x:v>34870.18</x:v>
      </x:c>
    </x:row>
    <x:row r="103">
      <x:c r="A103" s="1" t="str">
        <x:v>INV105</x:v>
      </x:c>
      <x:c r="B103" s="1" t="str">
        <x:v>PO0105</x:v>
      </x:c>
      <x:c r="C103" s="5" t="n">
        <x:v>46263</x:v>
      </x:c>
      <x:c r="D103" s="5" t="n">
        <x:v>46308</x:v>
      </x:c>
      <x:c r="E103" s="1" t="n">
        <x:v>2873</x:v>
      </x:c>
      <x:c r="F103" s="6" t="n">
        <x:v>6.62</x:v>
      </x:c>
      <x:c r="G103" s="1" t="str">
        <x:v>Missing documentation</x:v>
      </x:c>
      <x:c r="H103" s="5" t="n">
        <x:v>46280</x:v>
      </x:c>
      <x:c r="I103" s="5"/>
      <x:c r="J103" s="10" t="n">
        <x:f>E103*F103</x:f>
        <x:v>19019.260000000002</x:v>
      </x:c>
    </x:row>
    <x:row r="104">
      <x:c r="A104" s="1" t="str">
        <x:v>INV106</x:v>
      </x:c>
      <x:c r="B104" s="1" t="str">
        <x:v>PO0106</x:v>
      </x:c>
      <x:c r="C104" s="5" t="n">
        <x:v>46288</x:v>
      </x:c>
      <x:c r="D104" s="5" t="n">
        <x:v>46348</x:v>
      </x:c>
      <x:c r="E104" s="1" t="n">
        <x:v>4752</x:v>
      </x:c>
      <x:c r="F104" s="6" t="n">
        <x:v>14.79</x:v>
      </x:c>
      <x:c r="G104" s="1" t="str">
        <x:v>None</x:v>
      </x:c>
      <x:c r="H104" s="5" t="n">
        <x:v>46288</x:v>
      </x:c>
      <x:c r="I104" s="5"/>
      <x:c r="J104" s="10" t="n">
        <x:f>E104*F104</x:f>
        <x:v>70282.08</x:v>
      </x:c>
    </x:row>
    <x:row r="105">
      <x:c r="A105" s="1" t="str">
        <x:v>INV107</x:v>
      </x:c>
      <x:c r="B105" s="1" t="str">
        <x:v>PO0107</x:v>
      </x:c>
      <x:c r="C105" s="5" t="n">
        <x:v>46109</x:v>
      </x:c>
      <x:c r="D105" s="5" t="n">
        <x:v>46139</x:v>
      </x:c>
      <x:c r="E105" s="1" t="n">
        <x:v>2834</x:v>
      </x:c>
      <x:c r="F105" s="6" t="n">
        <x:v>16.42</x:v>
      </x:c>
      <x:c r="G105" s="1" t="str">
        <x:v>None</x:v>
      </x:c>
      <x:c r="H105" s="5" t="n">
        <x:v>46109</x:v>
      </x:c>
      <x:c r="I105" s="5" t="n">
        <x:v>46142</x:v>
      </x:c>
      <x:c r="J105" s="10" t="n">
        <x:f>E105*F105</x:f>
        <x:v>46534.280000000006</x:v>
      </x:c>
    </x:row>
    <x:row r="106">
      <x:c r="A106" s="1" t="str">
        <x:v>INV108</x:v>
      </x:c>
      <x:c r="B106" s="1" t="str">
        <x:v>PO0108</x:v>
      </x:c>
      <x:c r="C106" s="5" t="n">
        <x:v>46118</x:v>
      </x:c>
      <x:c r="D106" s="5" t="n">
        <x:v>46148</x:v>
      </x:c>
      <x:c r="E106" s="1" t="n">
        <x:v>3890</x:v>
      </x:c>
      <x:c r="F106" s="6" t="n">
        <x:v>18.05</x:v>
      </x:c>
      <x:c r="G106" s="1" t="str">
        <x:v>None</x:v>
      </x:c>
      <x:c r="H106" s="5" t="n">
        <x:v>46118</x:v>
      </x:c>
      <x:c r="I106" s="5" t="n">
        <x:v>46145</x:v>
      </x:c>
      <x:c r="J106" s="10" t="n">
        <x:f>E106*F106</x:f>
        <x:v>70214.5</x:v>
      </x:c>
    </x:row>
    <x:row r="107">
      <x:c r="A107" s="1" t="str">
        <x:v>INV109</x:v>
      </x:c>
      <x:c r="B107" s="1" t="str">
        <x:v>PO0109</x:v>
      </x:c>
      <x:c r="C107" s="5" t="n">
        <x:v>46266</x:v>
      </x:c>
      <x:c r="D107" s="5" t="n">
        <x:v>46296</x:v>
      </x:c>
      <x:c r="E107" s="1" t="n">
        <x:v>2347</x:v>
      </x:c>
      <x:c r="F107" s="6" t="n">
        <x:v>2.37</x:v>
      </x:c>
      <x:c r="G107" s="1" t="str">
        <x:v>None</x:v>
      </x:c>
      <x:c r="H107" s="5" t="n">
        <x:v>46266</x:v>
      </x:c>
      <x:c r="I107" s="5"/>
      <x:c r="J107" s="10" t="n">
        <x:f>E107*F107</x:f>
        <x:v>5562.39</x:v>
      </x:c>
    </x:row>
    <x:row r="108">
      <x:c r="A108" s="1" t="str">
        <x:v>INV110</x:v>
      </x:c>
      <x:c r="B108" s="1" t="str">
        <x:v>PO0110</x:v>
      </x:c>
      <x:c r="C108" s="5" t="n">
        <x:v>46263</x:v>
      </x:c>
      <x:c r="D108" s="5" t="n">
        <x:v>46323</x:v>
      </x:c>
      <x:c r="E108" s="1" t="n">
        <x:v>4956</x:v>
      </x:c>
      <x:c r="F108" s="6" t="n">
        <x:v>5.32</x:v>
      </x:c>
      <x:c r="G108" s="1" t="str">
        <x:v>None</x:v>
      </x:c>
      <x:c r="H108" s="5" t="n">
        <x:v>46263</x:v>
      </x:c>
      <x:c r="I108" s="5"/>
      <x:c r="J108" s="10" t="n">
        <x:f>E108*F108</x:f>
        <x:v>26365.920000000002</x:v>
      </x:c>
    </x:row>
    <x:row r="109">
      <x:c r="A109" s="1" t="str">
        <x:v>INV111</x:v>
      </x:c>
      <x:c r="B109" s="1" t="str">
        <x:v>PO0111</x:v>
      </x:c>
      <x:c r="C109" s="5" t="n">
        <x:v>46249</x:v>
      </x:c>
      <x:c r="D109" s="5" t="n">
        <x:v>46279</x:v>
      </x:c>
      <x:c r="E109" s="1" t="n">
        <x:v>4667</x:v>
      </x:c>
      <x:c r="F109" s="6" t="n">
        <x:v>14.28</x:v>
      </x:c>
      <x:c r="G109" s="1" t="str">
        <x:v>None</x:v>
      </x:c>
      <x:c r="H109" s="5" t="n">
        <x:v>46249</x:v>
      </x:c>
      <x:c r="I109" s="5" t="n">
        <x:v>46277</x:v>
      </x:c>
      <x:c r="J109" s="10" t="n">
        <x:f>E109*F109</x:f>
        <x:v>66644.76</x:v>
      </x:c>
    </x:row>
    <x:row r="110">
      <x:c r="A110" s="1" t="str">
        <x:v>INV112</x:v>
      </x:c>
      <x:c r="B110" s="1" t="str">
        <x:v>PO0112</x:v>
      </x:c>
      <x:c r="C110" s="5" t="n">
        <x:v>46077</x:v>
      </x:c>
      <x:c r="D110" s="5" t="n">
        <x:v>46122</x:v>
      </x:c>
      <x:c r="E110" s="1" t="n">
        <x:v>4729</x:v>
      </x:c>
      <x:c r="F110" s="6" t="n">
        <x:v>2.42</x:v>
      </x:c>
      <x:c r="G110" s="1" t="str">
        <x:v>Price mismatch</x:v>
      </x:c>
      <x:c r="H110" s="5" t="n">
        <x:v>46087</x:v>
      </x:c>
      <x:c r="I110" s="5" t="n">
        <x:v>46126</x:v>
      </x:c>
      <x:c r="J110" s="10" t="n">
        <x:f>E110*F110</x:f>
        <x:v>11444.18</x:v>
      </x:c>
    </x:row>
    <x:row r="111">
      <x:c r="A111" s="1" t="str">
        <x:v>INV113</x:v>
      </x:c>
      <x:c r="B111" s="1" t="str">
        <x:v>PO0113</x:v>
      </x:c>
      <x:c r="C111" s="5" t="n">
        <x:v>46175</x:v>
      </x:c>
      <x:c r="D111" s="5" t="n">
        <x:v>46205</x:v>
      </x:c>
      <x:c r="E111" s="1" t="n">
        <x:v>2523</x:v>
      </x:c>
      <x:c r="F111" s="6" t="n">
        <x:v>8.67</x:v>
      </x:c>
      <x:c r="G111" s="1" t="str">
        <x:v>None</x:v>
      </x:c>
      <x:c r="H111" s="5" t="n">
        <x:v>46175</x:v>
      </x:c>
      <x:c r="I111" s="5" t="n">
        <x:v>46205</x:v>
      </x:c>
      <x:c r="J111" s="10" t="n">
        <x:f>E111*F111</x:f>
        <x:v>21874.41</x:v>
      </x:c>
    </x:row>
    <x:row r="112">
      <x:c r="A112" s="1" t="str">
        <x:v>INV114</x:v>
      </x:c>
      <x:c r="B112" s="1" t="str">
        <x:v>PO0114</x:v>
      </x:c>
      <x:c r="C112" s="5" t="n">
        <x:v>46117</x:v>
      </x:c>
      <x:c r="D112" s="5" t="n">
        <x:v>46177</x:v>
      </x:c>
      <x:c r="E112" s="1" t="n">
        <x:v>4410</x:v>
      </x:c>
      <x:c r="F112" s="6" t="n">
        <x:v>17.03</x:v>
      </x:c>
      <x:c r="G112" s="1" t="str">
        <x:v>Missing documentation</x:v>
      </x:c>
      <x:c r="H112" s="5" t="n">
        <x:v>46138</x:v>
      </x:c>
      <x:c r="I112" s="5" t="n">
        <x:v>46185</x:v>
      </x:c>
      <x:c r="J112" s="10" t="n">
        <x:f>E112*F112</x:f>
        <x:v>75102.3</x:v>
      </x:c>
    </x:row>
    <x:row r="113">
      <x:c r="A113" s="1" t="str">
        <x:v>INV115</x:v>
      </x:c>
      <x:c r="B113" s="1" t="str">
        <x:v>PO0115</x:v>
      </x:c>
      <x:c r="C113" s="5" t="n">
        <x:v>46173</x:v>
      </x:c>
      <x:c r="D113" s="5" t="n">
        <x:v>46203</x:v>
      </x:c>
      <x:c r="E113" s="1" t="n">
        <x:v>3391</x:v>
      </x:c>
      <x:c r="F113" s="6" t="n">
        <x:v>7.82</x:v>
      </x:c>
      <x:c r="G113" s="1" t="str">
        <x:v>None</x:v>
      </x:c>
      <x:c r="H113" s="5" t="n">
        <x:v>46173</x:v>
      </x:c>
      <x:c r="I113" s="5" t="n">
        <x:v>46208</x:v>
      </x:c>
      <x:c r="J113" s="10" t="n">
        <x:f>E113*F113</x:f>
        <x:v>26517.620000000003</x:v>
      </x:c>
    </x:row>
    <x:row r="114">
      <x:c r="A114" s="1" t="str">
        <x:v>INV116</x:v>
      </x:c>
      <x:c r="B114" s="1" t="str">
        <x:v>PO0116</x:v>
      </x:c>
      <x:c r="C114" s="5" t="n">
        <x:v>46287</x:v>
      </x:c>
      <x:c r="D114" s="5" t="n">
        <x:v>46347</x:v>
      </x:c>
      <x:c r="E114" s="1" t="n">
        <x:v>4687</x:v>
      </x:c>
      <x:c r="F114" s="6" t="n">
        <x:v>19.25</x:v>
      </x:c>
      <x:c r="G114" s="1" t="str">
        <x:v>None</x:v>
      </x:c>
      <x:c r="H114" s="5" t="n">
        <x:v>46287</x:v>
      </x:c>
      <x:c r="I114" s="5"/>
      <x:c r="J114" s="10" t="n">
        <x:f>E114*F114</x:f>
        <x:v>90224.75</x:v>
      </x:c>
    </x:row>
    <x:row r="115">
      <x:c r="A115" s="1" t="str">
        <x:v>INV117</x:v>
      </x:c>
      <x:c r="B115" s="1" t="str">
        <x:v>PO0117</x:v>
      </x:c>
      <x:c r="C115" s="5" t="n">
        <x:v>46135</x:v>
      </x:c>
      <x:c r="D115" s="5" t="n">
        <x:v>46165</x:v>
      </x:c>
      <x:c r="E115" s="1" t="n">
        <x:v>238</x:v>
      </x:c>
      <x:c r="F115" s="6" t="n">
        <x:v>3.85</x:v>
      </x:c>
      <x:c r="G115" s="1" t="str">
        <x:v>None</x:v>
      </x:c>
      <x:c r="H115" s="5" t="n">
        <x:v>46135</x:v>
      </x:c>
      <x:c r="I115" s="5" t="n">
        <x:v>46166</x:v>
      </x:c>
      <x:c r="J115" s="10" t="n">
        <x:f>E115*F115</x:f>
        <x:v>916.3000000000001</x:v>
      </x:c>
    </x:row>
    <x:row r="116">
      <x:c r="A116" s="1" t="str">
        <x:v>INV119</x:v>
      </x:c>
      <x:c r="B116" s="1" t="str">
        <x:v>PO0119</x:v>
      </x:c>
      <x:c r="C116" s="5" t="n">
        <x:v>46101</x:v>
      </x:c>
      <x:c r="D116" s="5" t="n">
        <x:v>46131</x:v>
      </x:c>
      <x:c r="E116" s="1" t="n">
        <x:v>1269</x:v>
      </x:c>
      <x:c r="F116" s="6" t="n">
        <x:v>21.6</x:v>
      </x:c>
      <x:c r="G116" s="1" t="str">
        <x:v>None</x:v>
      </x:c>
      <x:c r="H116" s="5" t="n">
        <x:v>46101</x:v>
      </x:c>
      <x:c r="I116" s="5" t="n">
        <x:v>46138</x:v>
      </x:c>
      <x:c r="J116" s="10" t="n">
        <x:f>E116*F116</x:f>
        <x:v>27410.4</x:v>
      </x:c>
    </x:row>
    <x:row r="117">
      <x:c r="A117" s="1" t="str">
        <x:v>INV120</x:v>
      </x:c>
      <x:c r="B117" s="1" t="str">
        <x:v>PO0120</x:v>
      </x:c>
      <x:c r="C117" s="5" t="n">
        <x:v>46223</x:v>
      </x:c>
      <x:c r="D117" s="5" t="n">
        <x:v>46283</x:v>
      </x:c>
      <x:c r="E117" s="1" t="n">
        <x:v>849</x:v>
      </x:c>
      <x:c r="F117" s="6" t="n">
        <x:v>5.94</x:v>
      </x:c>
      <x:c r="G117" s="1" t="str">
        <x:v>None</x:v>
      </x:c>
      <x:c r="H117" s="5" t="n">
        <x:v>46223</x:v>
      </x:c>
      <x:c r="I117" s="5" t="n">
        <x:v>46280</x:v>
      </x:c>
      <x:c r="J117" s="10" t="n">
        <x:f>E117*F117</x:f>
        <x:v>5043.06</x:v>
      </x:c>
    </x:row>
    <x:row r="118">
      <x:c r="A118" s="1" t="str">
        <x:v>INV121</x:v>
      </x:c>
      <x:c r="B118" s="1" t="str">
        <x:v>PO0121</x:v>
      </x:c>
      <x:c r="C118" s="5" t="n">
        <x:v>46154</x:v>
      </x:c>
      <x:c r="D118" s="5" t="n">
        <x:v>46199</x:v>
      </x:c>
      <x:c r="E118" s="1" t="n">
        <x:v>590</x:v>
      </x:c>
      <x:c r="F118" s="6" t="n">
        <x:v>6.47</x:v>
      </x:c>
      <x:c r="G118" s="1" t="str">
        <x:v>None</x:v>
      </x:c>
      <x:c r="H118" s="5" t="n">
        <x:v>46154</x:v>
      </x:c>
      <x:c r="I118" s="5" t="n">
        <x:v>46207</x:v>
      </x:c>
      <x:c r="J118" s="10" t="n">
        <x:f>E118*F118</x:f>
        <x:v>3817.2999999999997</x:v>
      </x:c>
    </x:row>
    <x:row r="119">
      <x:c r="A119" s="1" t="str">
        <x:v>INV122</x:v>
      </x:c>
      <x:c r="B119" s="1" t="str">
        <x:v>PO0122</x:v>
      </x:c>
      <x:c r="C119" s="5" t="n">
        <x:v>46104</x:v>
      </x:c>
      <x:c r="D119" s="5" t="n">
        <x:v>46149</x:v>
      </x:c>
      <x:c r="E119" s="1" t="n">
        <x:v>3141</x:v>
      </x:c>
      <x:c r="F119" s="6" t="n">
        <x:v>17.91</x:v>
      </x:c>
      <x:c r="G119" s="1" t="str">
        <x:v>None</x:v>
      </x:c>
      <x:c r="H119" s="5" t="n">
        <x:v>46104</x:v>
      </x:c>
      <x:c r="I119" s="5" t="n">
        <x:v>46147</x:v>
      </x:c>
      <x:c r="J119" s="10" t="n">
        <x:f>E119*F119</x:f>
        <x:v>56255.31</x:v>
      </x:c>
    </x:row>
    <x:row r="120">
      <x:c r="A120" s="1" t="str">
        <x:v>INV123</x:v>
      </x:c>
      <x:c r="B120" s="1" t="str">
        <x:v>PO0123</x:v>
      </x:c>
      <x:c r="C120" s="5" t="n">
        <x:v>46084</x:v>
      </x:c>
      <x:c r="D120" s="5" t="n">
        <x:v>46114</x:v>
      </x:c>
      <x:c r="E120" s="1" t="n">
        <x:v>3369</x:v>
      </x:c>
      <x:c r="F120" s="6" t="n">
        <x:v>14.27</x:v>
      </x:c>
      <x:c r="G120" s="1" t="str">
        <x:v>None</x:v>
      </x:c>
      <x:c r="H120" s="5" t="n">
        <x:v>46084</x:v>
      </x:c>
      <x:c r="I120" s="5" t="n">
        <x:v>46120</x:v>
      </x:c>
      <x:c r="J120" s="10" t="n">
        <x:f>E120*F120</x:f>
        <x:v>48075.63</x:v>
      </x:c>
    </x:row>
    <x:row r="121">
      <x:c r="A121" s="1" t="str">
        <x:v>INV124</x:v>
      </x:c>
      <x:c r="B121" s="1" t="str">
        <x:v>PO0124</x:v>
      </x:c>
      <x:c r="C121" s="5" t="n">
        <x:v>46141</x:v>
      </x:c>
      <x:c r="D121" s="5" t="n">
        <x:v>46171</x:v>
      </x:c>
      <x:c r="E121" s="1" t="n">
        <x:v>4271</x:v>
      </x:c>
      <x:c r="F121" s="6" t="n">
        <x:v>22.6</x:v>
      </x:c>
      <x:c r="G121" s="1" t="str">
        <x:v>None</x:v>
      </x:c>
      <x:c r="H121" s="5" t="n">
        <x:v>46141</x:v>
      </x:c>
      <x:c r="I121" s="5" t="n">
        <x:v>46179</x:v>
      </x:c>
      <x:c r="J121" s="10" t="n">
        <x:f>E121*F121</x:f>
        <x:v>96524.6</x:v>
      </x:c>
    </x:row>
    <x:row r="122">
      <x:c r="A122" s="1" t="str">
        <x:v>INV125</x:v>
      </x:c>
      <x:c r="B122" s="1" t="str">
        <x:v>PO0125</x:v>
      </x:c>
      <x:c r="C122" s="5" t="n">
        <x:v>46202</x:v>
      </x:c>
      <x:c r="D122" s="5" t="n">
        <x:v>46262</x:v>
      </x:c>
      <x:c r="E122" s="1" t="n">
        <x:v>4106</x:v>
      </x:c>
      <x:c r="F122" s="6" t="n">
        <x:v>5.35</x:v>
      </x:c>
      <x:c r="G122" s="1" t="str">
        <x:v>Missing documentation</x:v>
      </x:c>
      <x:c r="H122" s="5" t="n">
        <x:v>46215</x:v>
      </x:c>
      <x:c r="I122" s="5" t="n">
        <x:v>46264</x:v>
      </x:c>
      <x:c r="J122" s="10" t="n">
        <x:f>E122*F122</x:f>
        <x:v>21967.1</x:v>
      </x:c>
    </x:row>
    <x:row r="123">
      <x:c r="A123" s="1" t="str">
        <x:v>INV126</x:v>
      </x:c>
      <x:c r="B123" s="1" t="str">
        <x:v>PO0126</x:v>
      </x:c>
      <x:c r="C123" s="5" t="n">
        <x:v>46041</x:v>
      </x:c>
      <x:c r="D123" s="5" t="n">
        <x:v>46071</x:v>
      </x:c>
      <x:c r="E123" s="1" t="n">
        <x:v>548</x:v>
      </x:c>
      <x:c r="F123" s="6" t="n">
        <x:v>4.32</x:v>
      </x:c>
      <x:c r="G123" s="1" t="str">
        <x:v>None</x:v>
      </x:c>
      <x:c r="H123" s="5" t="n">
        <x:v>46041</x:v>
      </x:c>
      <x:c r="I123" s="5" t="n">
        <x:v>46073</x:v>
      </x:c>
      <x:c r="J123" s="10" t="n">
        <x:f>E123*F123</x:f>
        <x:v>2367.36</x:v>
      </x:c>
    </x:row>
    <x:row r="124">
      <x:c r="A124" s="1" t="str">
        <x:v>INV127</x:v>
      </x:c>
      <x:c r="B124" s="1" t="str">
        <x:v>PO0127</x:v>
      </x:c>
      <x:c r="C124" s="5" t="n">
        <x:v>46078</x:v>
      </x:c>
      <x:c r="D124" s="5" t="n">
        <x:v>46108</x:v>
      </x:c>
      <x:c r="E124" s="1" t="n">
        <x:v>2864</x:v>
      </x:c>
      <x:c r="F124" s="6" t="n">
        <x:v>12.57</x:v>
      </x:c>
      <x:c r="G124" s="1" t="str">
        <x:v>None</x:v>
      </x:c>
      <x:c r="H124" s="5" t="n">
        <x:v>46078</x:v>
      </x:c>
      <x:c r="I124" s="5" t="n">
        <x:v>46112</x:v>
      </x:c>
      <x:c r="J124" s="10" t="n">
        <x:f>E124*F124</x:f>
        <x:v>36000.48</x:v>
      </x:c>
    </x:row>
    <x:row r="125">
      <x:c r="A125" s="1" t="str">
        <x:v>INV128</x:v>
      </x:c>
      <x:c r="B125" s="1" t="str">
        <x:v>PO0128</x:v>
      </x:c>
      <x:c r="C125" s="5" t="n">
        <x:v>46089</x:v>
      </x:c>
      <x:c r="D125" s="5" t="n">
        <x:v>46134</x:v>
      </x:c>
      <x:c r="E125" s="1" t="n">
        <x:v>777</x:v>
      </x:c>
      <x:c r="F125" s="6" t="n">
        <x:v>7.97</x:v>
      </x:c>
      <x:c r="G125" s="1" t="str">
        <x:v>Missing documentation</x:v>
      </x:c>
      <x:c r="H125" s="5" t="n">
        <x:v>46093</x:v>
      </x:c>
      <x:c r="I125" s="5" t="n">
        <x:v>46134</x:v>
      </x:c>
      <x:c r="J125" s="10" t="n">
        <x:f>E125*F125</x:f>
        <x:v>6192.69</x:v>
      </x:c>
    </x:row>
    <x:row r="126">
      <x:c r="A126" s="1" t="str">
        <x:v>INV129</x:v>
      </x:c>
      <x:c r="B126" s="1" t="str">
        <x:v>PO0129</x:v>
      </x:c>
      <x:c r="C126" s="5" t="n">
        <x:v>46177</x:v>
      </x:c>
      <x:c r="D126" s="5" t="n">
        <x:v>46222</x:v>
      </x:c>
      <x:c r="E126" s="1" t="n">
        <x:v>1790</x:v>
      </x:c>
      <x:c r="F126" s="6" t="n">
        <x:v>4.78</x:v>
      </x:c>
      <x:c r="G126" s="1" t="str">
        <x:v>None</x:v>
      </x:c>
      <x:c r="H126" s="5" t="n">
        <x:v>46177</x:v>
      </x:c>
      <x:c r="I126" s="5" t="n">
        <x:v>46221</x:v>
      </x:c>
      <x:c r="J126" s="10" t="n">
        <x:f>E126*F126</x:f>
        <x:v>8556.2</x:v>
      </x:c>
    </x:row>
    <x:row r="127">
      <x:c r="A127" s="1" t="str">
        <x:v>INV130</x:v>
      </x:c>
      <x:c r="B127" s="1" t="str">
        <x:v>PO0130</x:v>
      </x:c>
      <x:c r="C127" s="5" t="n">
        <x:v>46062</x:v>
      </x:c>
      <x:c r="D127" s="5" t="n">
        <x:v>46122</x:v>
      </x:c>
      <x:c r="E127" s="1" t="n">
        <x:v>1804</x:v>
      </x:c>
      <x:c r="F127" s="6" t="n">
        <x:v>13.24</x:v>
      </x:c>
      <x:c r="G127" s="1" t="str">
        <x:v>None</x:v>
      </x:c>
      <x:c r="H127" s="5" t="n">
        <x:v>46062</x:v>
      </x:c>
      <x:c r="I127" s="5" t="n">
        <x:v>46122</x:v>
      </x:c>
      <x:c r="J127" s="10" t="n">
        <x:f>E127*F127</x:f>
        <x:v>23884.96</x:v>
      </x:c>
    </x:row>
    <x:row r="128">
      <x:c r="A128" s="1" t="str">
        <x:v>INV131</x:v>
      </x:c>
      <x:c r="B128" s="1" t="str">
        <x:v>PO0131</x:v>
      </x:c>
      <x:c r="C128" s="5" t="n">
        <x:v>46233</x:v>
      </x:c>
      <x:c r="D128" s="5" t="n">
        <x:v>46263</x:v>
      </x:c>
      <x:c r="E128" s="1" t="n">
        <x:v>546</x:v>
      </x:c>
      <x:c r="F128" s="6" t="n">
        <x:v>8.33</x:v>
      </x:c>
      <x:c r="G128" s="1" t="str">
        <x:v>Missing documentation</x:v>
      </x:c>
      <x:c r="H128" s="5" t="n">
        <x:v>46245</x:v>
      </x:c>
      <x:c r="I128" s="5" t="n">
        <x:v>46260</x:v>
      </x:c>
      <x:c r="J128" s="10" t="n">
        <x:f>E128*F128</x:f>
        <x:v>4548.18</x:v>
      </x:c>
    </x:row>
    <x:row r="129">
      <x:c r="A129" s="1" t="str">
        <x:v>INV132</x:v>
      </x:c>
      <x:c r="B129" s="1" t="str">
        <x:v>PO0132</x:v>
      </x:c>
      <x:c r="C129" s="5" t="n">
        <x:v>46042</x:v>
      </x:c>
      <x:c r="D129" s="5" t="n">
        <x:v>46087</x:v>
      </x:c>
      <x:c r="E129" s="1" t="n">
        <x:v>3917</x:v>
      </x:c>
      <x:c r="F129" s="6" t="n">
        <x:v>21.71</x:v>
      </x:c>
      <x:c r="G129" s="1" t="str">
        <x:v>None</x:v>
      </x:c>
      <x:c r="H129" s="5" t="n">
        <x:v>46042</x:v>
      </x:c>
      <x:c r="I129" s="5" t="n">
        <x:v>46092</x:v>
      </x:c>
      <x:c r="J129" s="10" t="n">
        <x:f>E129*F129</x:f>
        <x:v>85038.07</x:v>
      </x:c>
    </x:row>
    <x:row r="130">
      <x:c r="A130" s="1" t="str">
        <x:v>INV133</x:v>
      </x:c>
      <x:c r="B130" s="1" t="str">
        <x:v>PO0133</x:v>
      </x:c>
      <x:c r="C130" s="5" t="n">
        <x:v>46125</x:v>
      </x:c>
      <x:c r="D130" s="5" t="n">
        <x:v>46155</x:v>
      </x:c>
      <x:c r="E130" s="1" t="n">
        <x:v>4371</x:v>
      </x:c>
      <x:c r="F130" s="6" t="n">
        <x:v>13.88</x:v>
      </x:c>
      <x:c r="G130" s="1" t="str">
        <x:v>None</x:v>
      </x:c>
      <x:c r="H130" s="5" t="n">
        <x:v>46125</x:v>
      </x:c>
      <x:c r="I130" s="5" t="n">
        <x:v>46155</x:v>
      </x:c>
      <x:c r="J130" s="10" t="n">
        <x:f>E130*F130</x:f>
        <x:v>60669.48</x:v>
      </x:c>
    </x:row>
    <x:row r="131">
      <x:c r="A131" s="1" t="str">
        <x:v>INV134</x:v>
      </x:c>
      <x:c r="B131" s="1" t="str">
        <x:v>PO0134</x:v>
      </x:c>
      <x:c r="C131" s="5" t="n">
        <x:v>46258</x:v>
      </x:c>
      <x:c r="D131" s="5" t="n">
        <x:v>46288</x:v>
      </x:c>
      <x:c r="E131" s="1" t="n">
        <x:v>4619</x:v>
      </x:c>
      <x:c r="F131" s="6" t="n">
        <x:v>19.86</x:v>
      </x:c>
      <x:c r="G131" s="1" t="str">
        <x:v>None</x:v>
      </x:c>
      <x:c r="H131" s="5" t="n">
        <x:v>46258</x:v>
      </x:c>
      <x:c r="I131" s="5" t="n">
        <x:v>46294</x:v>
      </x:c>
      <x:c r="J131" s="10" t="n">
        <x:f>E131*F131</x:f>
        <x:v>91733.34</x:v>
      </x:c>
    </x:row>
    <x:row r="132">
      <x:c r="A132" s="1" t="str">
        <x:v>INV135</x:v>
      </x:c>
      <x:c r="B132" s="1" t="str">
        <x:v>PO0135</x:v>
      </x:c>
      <x:c r="C132" s="5" t="n">
        <x:v>46224</x:v>
      </x:c>
      <x:c r="D132" s="5" t="n">
        <x:v>46269</x:v>
      </x:c>
      <x:c r="E132" s="1" t="n">
        <x:v>3858</x:v>
      </x:c>
      <x:c r="F132" s="6" t="n">
        <x:v>11.86</x:v>
      </x:c>
      <x:c r="G132" s="1" t="str">
        <x:v>None</x:v>
      </x:c>
      <x:c r="H132" s="5" t="n">
        <x:v>46224</x:v>
      </x:c>
      <x:c r="I132" s="5" t="n">
        <x:v>46272</x:v>
      </x:c>
      <x:c r="J132" s="10" t="n">
        <x:f>E132*F132</x:f>
        <x:v>45755.88</x:v>
      </x:c>
    </x:row>
    <x:row r="133">
      <x:c r="A133" s="1" t="str">
        <x:v>INV136</x:v>
      </x:c>
      <x:c r="B133" s="1" t="str">
        <x:v>PO0136</x:v>
      </x:c>
      <x:c r="C133" s="5" t="n">
        <x:v>46259</x:v>
      </x:c>
      <x:c r="D133" s="5" t="n">
        <x:v>46304</x:v>
      </x:c>
      <x:c r="E133" s="1" t="n">
        <x:v>4827</x:v>
      </x:c>
      <x:c r="F133" s="6" t="n">
        <x:v>20.22</x:v>
      </x:c>
      <x:c r="G133" s="1" t="str">
        <x:v>None</x:v>
      </x:c>
      <x:c r="H133" s="5" t="n">
        <x:v>46259</x:v>
      </x:c>
      <x:c r="I133" s="5"/>
      <x:c r="J133" s="10" t="n">
        <x:f>E133*F133</x:f>
        <x:v>97601.93999999999</x:v>
      </x:c>
    </x:row>
    <x:row r="134">
      <x:c r="A134" s="1" t="str">
        <x:v>INV137</x:v>
      </x:c>
      <x:c r="B134" s="1" t="str">
        <x:v>PO0137</x:v>
      </x:c>
      <x:c r="C134" s="5" t="n">
        <x:v>46067</x:v>
      </x:c>
      <x:c r="D134" s="5" t="n">
        <x:v>46097</x:v>
      </x:c>
      <x:c r="E134" s="1" t="n">
        <x:v>1700</x:v>
      </x:c>
      <x:c r="F134" s="6" t="n">
        <x:v>11.74</x:v>
      </x:c>
      <x:c r="G134" s="1" t="str">
        <x:v>None</x:v>
      </x:c>
      <x:c r="H134" s="5" t="n">
        <x:v>46067</x:v>
      </x:c>
      <x:c r="I134" s="5" t="n">
        <x:v>46097</x:v>
      </x:c>
      <x:c r="J134" s="10" t="n">
        <x:f>E134*F134</x:f>
        <x:v>19958</x:v>
      </x:c>
    </x:row>
    <x:row r="135">
      <x:c r="A135" s="1" t="str">
        <x:v>INV138</x:v>
      </x:c>
      <x:c r="B135" s="1" t="str">
        <x:v>PO0138</x:v>
      </x:c>
      <x:c r="C135" s="5" t="n">
        <x:v>46256</x:v>
      </x:c>
      <x:c r="D135" s="5" t="n">
        <x:v>46286</x:v>
      </x:c>
      <x:c r="E135" s="1" t="n">
        <x:v>4709</x:v>
      </x:c>
      <x:c r="F135" s="6" t="n">
        <x:v>6.01</x:v>
      </x:c>
      <x:c r="G135" s="1" t="str">
        <x:v>None</x:v>
      </x:c>
      <x:c r="H135" s="5" t="n">
        <x:v>46256</x:v>
      </x:c>
      <x:c r="I135" s="5" t="n">
        <x:v>46292</x:v>
      </x:c>
      <x:c r="J135" s="10" t="n">
        <x:f>E135*F135</x:f>
        <x:v>28301.09</x:v>
      </x:c>
    </x:row>
    <x:row r="136">
      <x:c r="A136" s="1" t="str">
        <x:v>INV139</x:v>
      </x:c>
      <x:c r="B136" s="1" t="str">
        <x:v>PO0139</x:v>
      </x:c>
      <x:c r="C136" s="5" t="n">
        <x:v>46268</x:v>
      </x:c>
      <x:c r="D136" s="5" t="n">
        <x:v>46328</x:v>
      </x:c>
      <x:c r="E136" s="1" t="n">
        <x:v>3706</x:v>
      </x:c>
      <x:c r="F136" s="6" t="n">
        <x:v>12.15</x:v>
      </x:c>
      <x:c r="G136" s="1" t="str">
        <x:v>None</x:v>
      </x:c>
      <x:c r="H136" s="5" t="n">
        <x:v>46268</x:v>
      </x:c>
      <x:c r="I136" s="5"/>
      <x:c r="J136" s="10" t="n">
        <x:f>E136*F136</x:f>
        <x:v>45027.9</x:v>
      </x:c>
    </x:row>
    <x:row r="137">
      <x:c r="A137" s="1" t="str">
        <x:v>INV140</x:v>
      </x:c>
      <x:c r="B137" s="1" t="str">
        <x:v>PO0140</x:v>
      </x:c>
      <x:c r="C137" s="5" t="n">
        <x:v>46073</x:v>
      </x:c>
      <x:c r="D137" s="5" t="n">
        <x:v>46118</x:v>
      </x:c>
      <x:c r="E137" s="1" t="n">
        <x:v>4430</x:v>
      </x:c>
      <x:c r="F137" s="6" t="n">
        <x:v>22.7</x:v>
      </x:c>
      <x:c r="G137" s="1" t="str">
        <x:v>None</x:v>
      </x:c>
      <x:c r="H137" s="5" t="n">
        <x:v>46073</x:v>
      </x:c>
      <x:c r="I137" s="5" t="n">
        <x:v>46122</x:v>
      </x:c>
      <x:c r="J137" s="10" t="n">
        <x:f>E137*F137</x:f>
        <x:v>100561</x:v>
      </x:c>
    </x:row>
    <x:row r="138">
      <x:c r="A138" s="1" t="str">
        <x:v>INV141</x:v>
      </x:c>
      <x:c r="B138" s="1" t="str">
        <x:v>PO0141</x:v>
      </x:c>
      <x:c r="C138" s="5" t="n">
        <x:v>46191</x:v>
      </x:c>
      <x:c r="D138" s="5" t="n">
        <x:v>46236</x:v>
      </x:c>
      <x:c r="E138" s="1" t="n">
        <x:v>2360</x:v>
      </x:c>
      <x:c r="F138" s="6" t="n">
        <x:v>19.23</x:v>
      </x:c>
      <x:c r="G138" s="1" t="str">
        <x:v>None</x:v>
      </x:c>
      <x:c r="H138" s="5" t="n">
        <x:v>46191</x:v>
      </x:c>
      <x:c r="I138" s="5" t="n">
        <x:v>46240</x:v>
      </x:c>
      <x:c r="J138" s="10" t="n">
        <x:f>E138*F138</x:f>
        <x:v>45382.8</x:v>
      </x:c>
    </x:row>
    <x:row r="139">
      <x:c r="A139" s="1" t="str">
        <x:v>INV142</x:v>
      </x:c>
      <x:c r="B139" s="1" t="str">
        <x:v>PO0142</x:v>
      </x:c>
      <x:c r="C139" s="5" t="n">
        <x:v>46170</x:v>
      </x:c>
      <x:c r="D139" s="5" t="n">
        <x:v>46215</x:v>
      </x:c>
      <x:c r="E139" s="1" t="n">
        <x:v>204</x:v>
      </x:c>
      <x:c r="F139" s="6" t="n">
        <x:v>22.35</x:v>
      </x:c>
      <x:c r="G139" s="1" t="str">
        <x:v>None</x:v>
      </x:c>
      <x:c r="H139" s="5" t="n">
        <x:v>46170</x:v>
      </x:c>
      <x:c r="I139" s="5" t="n">
        <x:v>46212</x:v>
      </x:c>
      <x:c r="J139" s="10" t="n">
        <x:f>E139*F139</x:f>
        <x:v>4559.400000000001</x:v>
      </x:c>
    </x:row>
    <x:row r="140">
      <x:c r="A140" s="1" t="str">
        <x:v>INV143</x:v>
      </x:c>
      <x:c r="B140" s="1" t="str">
        <x:v>PO0143</x:v>
      </x:c>
      <x:c r="C140" s="5" t="n">
        <x:v>46052</x:v>
      </x:c>
      <x:c r="D140" s="5" t="n">
        <x:v>46112</x:v>
      </x:c>
      <x:c r="E140" s="1" t="n">
        <x:v>2930</x:v>
      </x:c>
      <x:c r="F140" s="6" t="n">
        <x:v>8.68</x:v>
      </x:c>
      <x:c r="G140" s="1" t="str">
        <x:v>Quantity mismatch</x:v>
      </x:c>
      <x:c r="H140" s="5" t="n">
        <x:v>46071</x:v>
      </x:c>
      <x:c r="I140" s="5" t="n">
        <x:v>46119</x:v>
      </x:c>
      <x:c r="J140" s="10" t="n">
        <x:f>E140*F140</x:f>
        <x:v>25432.399999999998</x:v>
      </x:c>
    </x:row>
    <x:row r="141">
      <x:c r="A141" s="1" t="str">
        <x:v>INV144</x:v>
      </x:c>
      <x:c r="B141" s="1" t="str">
        <x:v>PO0144</x:v>
      </x:c>
      <x:c r="C141" s="5" t="n">
        <x:v>46223</x:v>
      </x:c>
      <x:c r="D141" s="5" t="n">
        <x:v>46283</x:v>
      </x:c>
      <x:c r="E141" s="1" t="n">
        <x:v>2648</x:v>
      </x:c>
      <x:c r="F141" s="6" t="n">
        <x:v>21.24</x:v>
      </x:c>
      <x:c r="G141" s="1" t="str">
        <x:v>None</x:v>
      </x:c>
      <x:c r="H141" s="5" t="n">
        <x:v>46223</x:v>
      </x:c>
      <x:c r="I141" s="5" t="n">
        <x:v>46286</x:v>
      </x:c>
      <x:c r="J141" s="10" t="n">
        <x:f>E141*F141</x:f>
        <x:v>56243.52</x:v>
      </x:c>
    </x:row>
    <x:row r="142">
      <x:c r="A142" s="1" t="str">
        <x:v>INV145</x:v>
      </x:c>
      <x:c r="B142" s="1" t="str">
        <x:v>PO0145</x:v>
      </x:c>
      <x:c r="C142" s="5" t="n">
        <x:v>46182</x:v>
      </x:c>
      <x:c r="D142" s="5" t="n">
        <x:v>46227</x:v>
      </x:c>
      <x:c r="E142" s="1" t="n">
        <x:v>2358</x:v>
      </x:c>
      <x:c r="F142" s="6" t="n">
        <x:v>20.02</x:v>
      </x:c>
      <x:c r="G142" s="1" t="str">
        <x:v>None</x:v>
      </x:c>
      <x:c r="H142" s="5" t="n">
        <x:v>46182</x:v>
      </x:c>
      <x:c r="I142" s="5" t="n">
        <x:v>46233</x:v>
      </x:c>
      <x:c r="J142" s="10" t="n">
        <x:f>E142*F142</x:f>
        <x:v>47207.159999999996</x:v>
      </x:c>
    </x:row>
    <x:row r="143">
      <x:c r="A143" s="1" t="str">
        <x:v>INV146</x:v>
      </x:c>
      <x:c r="B143" s="1" t="str">
        <x:v>PO0146</x:v>
      </x:c>
      <x:c r="C143" s="5" t="n">
        <x:v>46064</x:v>
      </x:c>
      <x:c r="D143" s="5" t="n">
        <x:v>46109</x:v>
      </x:c>
      <x:c r="E143" s="1" t="n">
        <x:v>2887</x:v>
      </x:c>
      <x:c r="F143" s="6" t="n">
        <x:v>5.17</x:v>
      </x:c>
      <x:c r="G143" s="1" t="str">
        <x:v>None</x:v>
      </x:c>
      <x:c r="H143" s="5" t="n">
        <x:v>46064</x:v>
      </x:c>
      <x:c r="I143" s="5" t="n">
        <x:v>46106</x:v>
      </x:c>
      <x:c r="J143" s="10" t="n">
        <x:f>E143*F143</x:f>
        <x:v>14925.789999999999</x:v>
      </x:c>
    </x:row>
    <x:row r="144">
      <x:c r="A144" s="1" t="str">
        <x:v>INV147</x:v>
      </x:c>
      <x:c r="B144" s="1" t="str">
        <x:v>PO0147</x:v>
      </x:c>
      <x:c r="C144" s="5" t="n">
        <x:v>46124</x:v>
      </x:c>
      <x:c r="D144" s="5" t="n">
        <x:v>46184</x:v>
      </x:c>
      <x:c r="E144" s="1" t="n">
        <x:v>2032</x:v>
      </x:c>
      <x:c r="F144" s="6" t="n">
        <x:v>2.88</x:v>
      </x:c>
      <x:c r="G144" s="1" t="str">
        <x:v>None</x:v>
      </x:c>
      <x:c r="H144" s="5" t="n">
        <x:v>46124</x:v>
      </x:c>
      <x:c r="I144" s="5" t="n">
        <x:v>46186</x:v>
      </x:c>
      <x:c r="J144" s="10" t="n">
        <x:f>E144*F144</x:f>
        <x:v>5852.16</x:v>
      </x:c>
    </x:row>
    <x:row r="145">
      <x:c r="A145" s="1" t="str">
        <x:v>INV148</x:v>
      </x:c>
      <x:c r="B145" s="1" t="str">
        <x:v>PO0148</x:v>
      </x:c>
      <x:c r="C145" s="5" t="n">
        <x:v>46150</x:v>
      </x:c>
      <x:c r="D145" s="5" t="n">
        <x:v>46210</x:v>
      </x:c>
      <x:c r="E145" s="1" t="n">
        <x:v>1089</x:v>
      </x:c>
      <x:c r="F145" s="6" t="n">
        <x:v>7.23</x:v>
      </x:c>
      <x:c r="G145" s="1" t="str">
        <x:v>None</x:v>
      </x:c>
      <x:c r="H145" s="5" t="n">
        <x:v>46150</x:v>
      </x:c>
      <x:c r="I145" s="5" t="n">
        <x:v>46213</x:v>
      </x:c>
      <x:c r="J145" s="10" t="n">
        <x:f>E145*F145</x:f>
        <x:v>7873.47</x:v>
      </x:c>
    </x:row>
    <x:row r="146">
      <x:c r="A146" s="1" t="str">
        <x:v>INV149</x:v>
      </x:c>
      <x:c r="B146" s="1" t="str">
        <x:v>PO0149</x:v>
      </x:c>
      <x:c r="C146" s="5" t="n">
        <x:v>46109</x:v>
      </x:c>
      <x:c r="D146" s="5" t="n">
        <x:v>46154</x:v>
      </x:c>
      <x:c r="E146" s="1" t="n">
        <x:v>3887</x:v>
      </x:c>
      <x:c r="F146" s="6" t="n">
        <x:v>6.05</x:v>
      </x:c>
      <x:c r="G146" s="1" t="str">
        <x:v>Quantity mismatch</x:v>
      </x:c>
      <x:c r="H146" s="5" t="n">
        <x:v>46123</x:v>
      </x:c>
      <x:c r="I146" s="5" t="n">
        <x:v>46160</x:v>
      </x:c>
      <x:c r="J146" s="10" t="n">
        <x:f>E146*F146</x:f>
        <x:v>23516.35</x:v>
      </x:c>
    </x:row>
    <x:row r="147">
      <x:c r="A147" s="1" t="str">
        <x:v>INV150</x:v>
      </x:c>
      <x:c r="B147" s="1" t="str">
        <x:v>PO0150</x:v>
      </x:c>
      <x:c r="C147" s="5" t="n">
        <x:v>46284</x:v>
      </x:c>
      <x:c r="D147" s="5" t="n">
        <x:v>46314</x:v>
      </x:c>
      <x:c r="E147" s="1" t="n">
        <x:v>2496</x:v>
      </x:c>
      <x:c r="F147" s="6" t="n">
        <x:v>1.79</x:v>
      </x:c>
      <x:c r="G147" s="1" t="str">
        <x:v>None</x:v>
      </x:c>
      <x:c r="H147" s="5" t="n">
        <x:v>46284</x:v>
      </x:c>
      <x:c r="I147" s="5"/>
      <x:c r="J147" s="10" t="n">
        <x:f>E147*F147</x:f>
        <x:v>4467.84</x:v>
      </x:c>
    </x:row>
    <x:row r="148">
      <x:c r="A148" s="1" t="str">
        <x:v>INV151</x:v>
      </x:c>
      <x:c r="B148" s="1" t="str">
        <x:v>PO0151</x:v>
      </x:c>
      <x:c r="C148" s="5" t="n">
        <x:v>46185</x:v>
      </x:c>
      <x:c r="D148" s="5" t="n">
        <x:v>46230</x:v>
      </x:c>
      <x:c r="E148" s="1" t="n">
        <x:v>3891</x:v>
      </x:c>
      <x:c r="F148" s="6" t="n">
        <x:v>4.66</x:v>
      </x:c>
      <x:c r="G148" s="1" t="str">
        <x:v>Missing documentation</x:v>
      </x:c>
      <x:c r="H148" s="5" t="n">
        <x:v>46201</x:v>
      </x:c>
      <x:c r="I148" s="5" t="n">
        <x:v>46234</x:v>
      </x:c>
      <x:c r="J148" s="10" t="n">
        <x:f>E148*F148</x:f>
        <x:v>18132.06</x:v>
      </x:c>
    </x:row>
    <x:row r="149">
      <x:c r="A149" s="1" t="str">
        <x:v>INV152</x:v>
      </x:c>
      <x:c r="B149" s="1" t="str">
        <x:v>PO0152</x:v>
      </x:c>
      <x:c r="C149" s="5" t="n">
        <x:v>46254</x:v>
      </x:c>
      <x:c r="D149" s="5" t="n">
        <x:v>46314</x:v>
      </x:c>
      <x:c r="E149" s="1" t="n">
        <x:v>3453</x:v>
      </x:c>
      <x:c r="F149" s="6" t="n">
        <x:v>5.53</x:v>
      </x:c>
      <x:c r="G149" s="1" t="str">
        <x:v>Price mismatch</x:v>
      </x:c>
      <x:c r="H149" s="5" t="n">
        <x:v>46267</x:v>
      </x:c>
      <x:c r="I149" s="5"/>
      <x:c r="J149" s="10" t="n">
        <x:f>E149*F149</x:f>
        <x:v>19095.09</x:v>
      </x:c>
    </x:row>
    <x:row r="150">
      <x:c r="A150" s="1" t="str">
        <x:v>INV153</x:v>
      </x:c>
      <x:c r="B150" s="1" t="str">
        <x:v>PO0153</x:v>
      </x:c>
      <x:c r="C150" s="5" t="n">
        <x:v>46091</x:v>
      </x:c>
      <x:c r="D150" s="5" t="n">
        <x:v>46121</x:v>
      </x:c>
      <x:c r="E150" s="1" t="n">
        <x:v>3284</x:v>
      </x:c>
      <x:c r="F150" s="6" t="n">
        <x:v>4.8</x:v>
      </x:c>
      <x:c r="G150" s="1" t="str">
        <x:v>None</x:v>
      </x:c>
      <x:c r="H150" s="5" t="n">
        <x:v>46091</x:v>
      </x:c>
      <x:c r="I150" s="5" t="n">
        <x:v>46122</x:v>
      </x:c>
      <x:c r="J150" s="10" t="n">
        <x:f>E150*F150</x:f>
        <x:v>15763.199999999999</x:v>
      </x:c>
    </x:row>
    <x:row r="151">
      <x:c r="A151" s="1" t="str">
        <x:v>INV154</x:v>
      </x:c>
      <x:c r="B151" s="1" t="str">
        <x:v>PO0154</x:v>
      </x:c>
      <x:c r="C151" s="5" t="n">
        <x:v>46078</x:v>
      </x:c>
      <x:c r="D151" s="5" t="n">
        <x:v>46123</x:v>
      </x:c>
      <x:c r="E151" s="1" t="n">
        <x:v>4734</x:v>
      </x:c>
      <x:c r="F151" s="6" t="n">
        <x:v>10.15</x:v>
      </x:c>
      <x:c r="G151" s="1" t="str">
        <x:v>Price mismatch</x:v>
      </x:c>
      <x:c r="H151" s="5" t="n">
        <x:v>46098</x:v>
      </x:c>
      <x:c r="I151" s="5" t="n">
        <x:v>46122</x:v>
      </x:c>
      <x:c r="J151" s="10" t="n">
        <x:f>E151*F151</x:f>
        <x:v>48050.1</x:v>
      </x:c>
    </x:row>
    <x:row r="152">
      <x:c r="A152" s="1" t="str">
        <x:v>INV155</x:v>
      </x:c>
      <x:c r="B152" s="1" t="str">
        <x:v>PO0155</x:v>
      </x:c>
      <x:c r="C152" s="5" t="n">
        <x:v>46055</x:v>
      </x:c>
      <x:c r="D152" s="5" t="n">
        <x:v>46100</x:v>
      </x:c>
      <x:c r="E152" s="1" t="n">
        <x:v>3086</x:v>
      </x:c>
      <x:c r="F152" s="6" t="n">
        <x:v>11.35</x:v>
      </x:c>
      <x:c r="G152" s="1" t="str">
        <x:v>None</x:v>
      </x:c>
      <x:c r="H152" s="5" t="n">
        <x:v>46055</x:v>
      </x:c>
      <x:c r="I152" s="5" t="n">
        <x:v>46100</x:v>
      </x:c>
      <x:c r="J152" s="10" t="n">
        <x:f>E152*F152</x:f>
        <x:v>35026.1</x:v>
      </x:c>
    </x:row>
    <x:row r="153">
      <x:c r="A153" s="1" t="str">
        <x:v>INV156</x:v>
      </x:c>
      <x:c r="B153" s="1" t="str">
        <x:v>PO0156</x:v>
      </x:c>
      <x:c r="C153" s="5" t="n">
        <x:v>46222</x:v>
      </x:c>
      <x:c r="D153" s="5" t="n">
        <x:v>46267</x:v>
      </x:c>
      <x:c r="E153" s="1" t="n">
        <x:v>1137</x:v>
      </x:c>
      <x:c r="F153" s="6" t="n">
        <x:v>6.09</x:v>
      </x:c>
      <x:c r="G153" s="1" t="str">
        <x:v>None</x:v>
      </x:c>
      <x:c r="H153" s="5" t="n">
        <x:v>46222</x:v>
      </x:c>
      <x:c r="I153" s="5" t="n">
        <x:v>46273</x:v>
      </x:c>
      <x:c r="J153" s="10" t="n">
        <x:f>E153*F153</x:f>
        <x:v>6924.33</x:v>
      </x:c>
    </x:row>
    <x:row r="154">
      <x:c r="A154" s="1" t="str">
        <x:v>INV157</x:v>
      </x:c>
      <x:c r="B154" s="1" t="str">
        <x:v>PO0157</x:v>
      </x:c>
      <x:c r="C154" s="5" t="n">
        <x:v>46058</x:v>
      </x:c>
      <x:c r="D154" s="5" t="n">
        <x:v>46088</x:v>
      </x:c>
      <x:c r="E154" s="1" t="n">
        <x:v>4448</x:v>
      </x:c>
      <x:c r="F154" s="6" t="n">
        <x:v>19.77</x:v>
      </x:c>
      <x:c r="G154" s="1" t="str">
        <x:v>None</x:v>
      </x:c>
      <x:c r="H154" s="5" t="n">
        <x:v>46058</x:v>
      </x:c>
      <x:c r="I154" s="5" t="n">
        <x:v>46089</x:v>
      </x:c>
      <x:c r="J154" s="10" t="n">
        <x:f>E154*F154</x:f>
        <x:v>87936.95999999999</x:v>
      </x:c>
    </x:row>
    <x:row r="155">
      <x:c r="A155" s="1" t="str">
        <x:v>INV158</x:v>
      </x:c>
      <x:c r="B155" s="1" t="str">
        <x:v>PO0158</x:v>
      </x:c>
      <x:c r="C155" s="5" t="n">
        <x:v>46192</x:v>
      </x:c>
      <x:c r="D155" s="5" t="n">
        <x:v>46237</x:v>
      </x:c>
      <x:c r="E155" s="1" t="n">
        <x:v>2346</x:v>
      </x:c>
      <x:c r="F155" s="6" t="n">
        <x:v>12.39</x:v>
      </x:c>
      <x:c r="G155" s="1" t="str">
        <x:v>None</x:v>
      </x:c>
      <x:c r="H155" s="5" t="n">
        <x:v>46192</x:v>
      </x:c>
      <x:c r="I155" s="5" t="n">
        <x:v>46237</x:v>
      </x:c>
      <x:c r="J155" s="10" t="n">
        <x:f>E155*F155</x:f>
        <x:v>29066.940000000002</x:v>
      </x:c>
    </x:row>
    <x:row r="156">
      <x:c r="A156" s="1" t="str">
        <x:v>INV159</x:v>
      </x:c>
      <x:c r="B156" s="1" t="str">
        <x:v>PO0159</x:v>
      </x:c>
      <x:c r="C156" s="5" t="n">
        <x:v>46233</x:v>
      </x:c>
      <x:c r="D156" s="5" t="n">
        <x:v>46278</x:v>
      </x:c>
      <x:c r="E156" s="1" t="n">
        <x:v>4364</x:v>
      </x:c>
      <x:c r="F156" s="6" t="n">
        <x:v>4.67</x:v>
      </x:c>
      <x:c r="G156" s="1" t="str">
        <x:v>Missing documentation</x:v>
      </x:c>
      <x:c r="H156" s="5" t="n">
        <x:v>46247</x:v>
      </x:c>
      <x:c r="I156" s="5" t="n">
        <x:v>46276</x:v>
      </x:c>
      <x:c r="J156" s="10" t="n">
        <x:f>E156*F156</x:f>
        <x:v>20379.88</x:v>
      </x:c>
    </x:row>
    <x:row r="157">
      <x:c r="A157" s="1" t="str">
        <x:v>INV160</x:v>
      </x:c>
      <x:c r="B157" s="1" t="str">
        <x:v>PO0160</x:v>
      </x:c>
      <x:c r="C157" s="5" t="n">
        <x:v>46269</x:v>
      </x:c>
      <x:c r="D157" s="5" t="n">
        <x:v>46329</x:v>
      </x:c>
      <x:c r="E157" s="1" t="n">
        <x:v>374</x:v>
      </x:c>
      <x:c r="F157" s="6" t="n">
        <x:v>17.36</x:v>
      </x:c>
      <x:c r="G157" s="1" t="str">
        <x:v>None</x:v>
      </x:c>
      <x:c r="H157" s="5" t="n">
        <x:v>46269</x:v>
      </x:c>
      <x:c r="I157" s="5"/>
      <x:c r="J157" s="10" t="n">
        <x:f>E157*F157</x:f>
        <x:v>6492.639999999999</x:v>
      </x:c>
    </x:row>
    <x:row r="158">
      <x:c r="A158" s="1" t="str">
        <x:v>INV161</x:v>
      </x:c>
      <x:c r="B158" s="1" t="str">
        <x:v>PO0161</x:v>
      </x:c>
      <x:c r="C158" s="5" t="n">
        <x:v>46135</x:v>
      </x:c>
      <x:c r="D158" s="5" t="n">
        <x:v>46165</x:v>
      </x:c>
      <x:c r="E158" s="1" t="n">
        <x:v>4114</x:v>
      </x:c>
      <x:c r="F158" s="6" t="n">
        <x:v>5.12</x:v>
      </x:c>
      <x:c r="G158" s="1" t="str">
        <x:v>None</x:v>
      </x:c>
      <x:c r="H158" s="5" t="n">
        <x:v>46135</x:v>
      </x:c>
      <x:c r="I158" s="5" t="n">
        <x:v>46173</x:v>
      </x:c>
      <x:c r="J158" s="10" t="n">
        <x:f>E158*F158</x:f>
        <x:v>21063.68</x:v>
      </x:c>
    </x:row>
    <x:row r="159">
      <x:c r="A159" s="1" t="str">
        <x:v>INV162</x:v>
      </x:c>
      <x:c r="B159" s="1" t="str">
        <x:v>PO0162</x:v>
      </x:c>
      <x:c r="C159" s="5" t="n">
        <x:v>46113</x:v>
      </x:c>
      <x:c r="D159" s="5" t="n">
        <x:v>46173</x:v>
      </x:c>
      <x:c r="E159" s="1" t="n">
        <x:v>2858</x:v>
      </x:c>
      <x:c r="F159" s="6" t="n">
        <x:v>5.83</x:v>
      </x:c>
      <x:c r="G159" s="1" t="str">
        <x:v>None</x:v>
      </x:c>
      <x:c r="H159" s="5" t="n">
        <x:v>46113</x:v>
      </x:c>
      <x:c r="I159" s="5" t="n">
        <x:v>46174</x:v>
      </x:c>
      <x:c r="J159" s="10" t="n">
        <x:f>E159*F159</x:f>
        <x:v>16662.14</x:v>
      </x:c>
    </x:row>
    <x:row r="160">
      <x:c r="A160" s="1" t="str">
        <x:v>INV163</x:v>
      </x:c>
      <x:c r="B160" s="1" t="str">
        <x:v>PO0163</x:v>
      </x:c>
      <x:c r="C160" s="5" t="n">
        <x:v>46222</x:v>
      </x:c>
      <x:c r="D160" s="5" t="n">
        <x:v>46252</x:v>
      </x:c>
      <x:c r="E160" s="1" t="n">
        <x:v>872</x:v>
      </x:c>
      <x:c r="F160" s="6" t="n">
        <x:v>4.16</x:v>
      </x:c>
      <x:c r="G160" s="1" t="str">
        <x:v>Price mismatch</x:v>
      </x:c>
      <x:c r="H160" s="5" t="n">
        <x:v>46242</x:v>
      </x:c>
      <x:c r="I160" s="5" t="n">
        <x:v>46252</x:v>
      </x:c>
      <x:c r="J160" s="10" t="n">
        <x:f>E160*F160</x:f>
        <x:v>3627.52</x:v>
      </x:c>
    </x:row>
    <x:row r="161">
      <x:c r="A161" s="1" t="str">
        <x:v>INV164</x:v>
      </x:c>
      <x:c r="B161" s="1" t="str">
        <x:v>PO0164</x:v>
      </x:c>
      <x:c r="C161" s="5" t="n">
        <x:v>46119</x:v>
      </x:c>
      <x:c r="D161" s="5" t="n">
        <x:v>46164</x:v>
      </x:c>
      <x:c r="E161" s="1" t="n">
        <x:v>4194</x:v>
      </x:c>
      <x:c r="F161" s="6" t="n">
        <x:v>3.49</x:v>
      </x:c>
      <x:c r="G161" s="1" t="str">
        <x:v>None</x:v>
      </x:c>
      <x:c r="H161" s="5" t="n">
        <x:v>46119</x:v>
      </x:c>
      <x:c r="I161" s="5" t="n">
        <x:v>46165</x:v>
      </x:c>
      <x:c r="J161" s="10" t="n">
        <x:f>E161*F161</x:f>
        <x:v>14637.060000000001</x:v>
      </x:c>
    </x:row>
    <x:row r="162">
      <x:c r="A162" s="1" t="str">
        <x:v>INV165</x:v>
      </x:c>
      <x:c r="B162" s="1" t="str">
        <x:v>PO0165</x:v>
      </x:c>
      <x:c r="C162" s="5" t="n">
        <x:v>46151</x:v>
      </x:c>
      <x:c r="D162" s="5" t="n">
        <x:v>46196</x:v>
      </x:c>
      <x:c r="E162" s="1" t="n">
        <x:v>2188</x:v>
      </x:c>
      <x:c r="F162" s="6" t="n">
        <x:v>20.77</x:v>
      </x:c>
      <x:c r="G162" s="1" t="str">
        <x:v>None</x:v>
      </x:c>
      <x:c r="H162" s="5" t="n">
        <x:v>46151</x:v>
      </x:c>
      <x:c r="I162" s="5" t="n">
        <x:v>46204</x:v>
      </x:c>
      <x:c r="J162" s="10" t="n">
        <x:f>E162*F162</x:f>
        <x:v>45444.76</x:v>
      </x:c>
    </x:row>
    <x:row r="163">
      <x:c r="A163" s="1" t="str">
        <x:v>INV166</x:v>
      </x:c>
      <x:c r="B163" s="1" t="str">
        <x:v>PO0166</x:v>
      </x:c>
      <x:c r="C163" s="5" t="n">
        <x:v>46172</x:v>
      </x:c>
      <x:c r="D163" s="5" t="n">
        <x:v>46217</x:v>
      </x:c>
      <x:c r="E163" s="1" t="n">
        <x:v>3291</x:v>
      </x:c>
      <x:c r="F163" s="6" t="n">
        <x:v>3.45</x:v>
      </x:c>
      <x:c r="G163" s="1" t="str">
        <x:v>None</x:v>
      </x:c>
      <x:c r="H163" s="5" t="n">
        <x:v>46172</x:v>
      </x:c>
      <x:c r="I163" s="5" t="n">
        <x:v>46216</x:v>
      </x:c>
      <x:c r="J163" s="10" t="n">
        <x:f>E163*F163</x:f>
        <x:v>11353.95</x:v>
      </x:c>
    </x:row>
    <x:row r="164">
      <x:c r="A164" s="1" t="str">
        <x:v>INV167</x:v>
      </x:c>
      <x:c r="B164" s="1" t="str">
        <x:v>PO0167</x:v>
      </x:c>
      <x:c r="C164" s="5" t="n">
        <x:v>46093</x:v>
      </x:c>
      <x:c r="D164" s="5" t="n">
        <x:v>46123</x:v>
      </x:c>
      <x:c r="E164" s="1" t="n">
        <x:v>1180</x:v>
      </x:c>
      <x:c r="F164" s="6" t="n">
        <x:v>13.65</x:v>
      </x:c>
      <x:c r="G164" s="1" t="str">
        <x:v>None</x:v>
      </x:c>
      <x:c r="H164" s="5" t="n">
        <x:v>46093</x:v>
      </x:c>
      <x:c r="I164" s="5" t="n">
        <x:v>46128</x:v>
      </x:c>
      <x:c r="J164" s="10" t="n">
        <x:f>E164*F164</x:f>
        <x:v>16107</x:v>
      </x:c>
    </x:row>
    <x:row r="165">
      <x:c r="A165" s="1" t="str">
        <x:v>INV168</x:v>
      </x:c>
      <x:c r="B165" s="1" t="str">
        <x:v>PO0168</x:v>
      </x:c>
      <x:c r="C165" s="5" t="n">
        <x:v>46098</x:v>
      </x:c>
      <x:c r="D165" s="5" t="n">
        <x:v>46143</x:v>
      </x:c>
      <x:c r="E165" s="1" t="n">
        <x:v>3488</x:v>
      </x:c>
      <x:c r="F165" s="6" t="n">
        <x:v>4.2</x:v>
      </x:c>
      <x:c r="G165" s="1" t="str">
        <x:v>None</x:v>
      </x:c>
      <x:c r="H165" s="5" t="n">
        <x:v>46098</x:v>
      </x:c>
      <x:c r="I165" s="5" t="n">
        <x:v>46151</x:v>
      </x:c>
      <x:c r="J165" s="10" t="n">
        <x:f>E165*F165</x:f>
        <x:v>14649.6</x:v>
      </x:c>
    </x:row>
    <x:row r="166">
      <x:c r="A166" s="1" t="str">
        <x:v>INV169</x:v>
      </x:c>
      <x:c r="B166" s="1" t="str">
        <x:v>PO0169</x:v>
      </x:c>
      <x:c r="C166" s="5" t="n">
        <x:v>46175</x:v>
      </x:c>
      <x:c r="D166" s="5" t="n">
        <x:v>46235</x:v>
      </x:c>
      <x:c r="E166" s="1" t="n">
        <x:v>2729</x:v>
      </x:c>
      <x:c r="F166" s="6" t="n">
        <x:v>21.96</x:v>
      </x:c>
      <x:c r="G166" s="1" t="str">
        <x:v>None</x:v>
      </x:c>
      <x:c r="H166" s="5" t="n">
        <x:v>46175</x:v>
      </x:c>
      <x:c r="I166" s="5" t="n">
        <x:v>46241</x:v>
      </x:c>
      <x:c r="J166" s="10" t="n">
        <x:f>E166*F166</x:f>
        <x:v>59928.840000000004</x:v>
      </x:c>
    </x:row>
    <x:row r="167">
      <x:c r="A167" s="1" t="str">
        <x:v>INV170</x:v>
      </x:c>
      <x:c r="B167" s="1" t="str">
        <x:v>PO0170</x:v>
      </x:c>
      <x:c r="C167" s="5" t="n">
        <x:v>46165</x:v>
      </x:c>
      <x:c r="D167" s="5" t="n">
        <x:v>46195</x:v>
      </x:c>
      <x:c r="E167" s="1" t="n">
        <x:v>782</x:v>
      </x:c>
      <x:c r="F167" s="6" t="n">
        <x:v>14.14</x:v>
      </x:c>
      <x:c r="G167" s="1" t="str">
        <x:v>None</x:v>
      </x:c>
      <x:c r="H167" s="5" t="n">
        <x:v>46165</x:v>
      </x:c>
      <x:c r="I167" s="5" t="n">
        <x:v>46199</x:v>
      </x:c>
      <x:c r="J167" s="10" t="n">
        <x:f>E167*F167</x:f>
        <x:v>11057.48</x:v>
      </x:c>
    </x:row>
    <x:row r="168">
      <x:c r="A168" s="1" t="str">
        <x:v>INV171</x:v>
      </x:c>
      <x:c r="B168" s="1" t="str">
        <x:v>PO0171</x:v>
      </x:c>
      <x:c r="C168" s="5" t="n">
        <x:v>46057</x:v>
      </x:c>
      <x:c r="D168" s="5" t="n">
        <x:v>46117</x:v>
      </x:c>
      <x:c r="E168" s="1" t="n">
        <x:v>423</x:v>
      </x:c>
      <x:c r="F168" s="6" t="n">
        <x:v>11.55</x:v>
      </x:c>
      <x:c r="G168" s="1" t="str">
        <x:v>None</x:v>
      </x:c>
      <x:c r="H168" s="5" t="n">
        <x:v>46057</x:v>
      </x:c>
      <x:c r="I168" s="5" t="n">
        <x:v>46125</x:v>
      </x:c>
      <x:c r="J168" s="10" t="n">
        <x:f>E168*F168</x:f>
        <x:v>4885.650000000001</x:v>
      </x:c>
    </x:row>
    <x:row r="169">
      <x:c r="A169" s="1" t="str">
        <x:v>INV172</x:v>
      </x:c>
      <x:c r="B169" s="1" t="str">
        <x:v>PO0172</x:v>
      </x:c>
      <x:c r="C169" s="5" t="n">
        <x:v>46140</x:v>
      </x:c>
      <x:c r="D169" s="5" t="n">
        <x:v>46170</x:v>
      </x:c>
      <x:c r="E169" s="1" t="n">
        <x:v>2358</x:v>
      </x:c>
      <x:c r="F169" s="6" t="n">
        <x:v>4.2</x:v>
      </x:c>
      <x:c r="G169" s="1" t="str">
        <x:v>Quantity mismatch</x:v>
      </x:c>
      <x:c r="H169" s="5" t="n">
        <x:v>46154</x:v>
      </x:c>
      <x:c r="I169" s="5" t="n">
        <x:v>46174</x:v>
      </x:c>
      <x:c r="J169" s="10" t="n">
        <x:f>E169*F169</x:f>
        <x:v>9903.6</x:v>
      </x:c>
    </x:row>
    <x:row r="170">
      <x:c r="A170" s="1" t="str">
        <x:v>INV173</x:v>
      </x:c>
      <x:c r="B170" s="1" t="str">
        <x:v>PO0173</x:v>
      </x:c>
      <x:c r="C170" s="5" t="n">
        <x:v>46095</x:v>
      </x:c>
      <x:c r="D170" s="5" t="n">
        <x:v>46155</x:v>
      </x:c>
      <x:c r="E170" s="1" t="n">
        <x:v>4971</x:v>
      </x:c>
      <x:c r="F170" s="6" t="n">
        <x:v>19.74</x:v>
      </x:c>
      <x:c r="G170" s="1" t="str">
        <x:v>None</x:v>
      </x:c>
      <x:c r="H170" s="5" t="n">
        <x:v>46095</x:v>
      </x:c>
      <x:c r="I170" s="5" t="n">
        <x:v>46159</x:v>
      </x:c>
      <x:c r="J170" s="10" t="n">
        <x:f>E170*F170</x:f>
        <x:v>98127.54</x:v>
      </x:c>
    </x:row>
    <x:row r="171">
      <x:c r="A171" s="1" t="str">
        <x:v>INV175</x:v>
      </x:c>
      <x:c r="B171" s="1" t="str">
        <x:v>PO0175</x:v>
      </x:c>
      <x:c r="C171" s="5" t="n">
        <x:v>46122</x:v>
      </x:c>
      <x:c r="D171" s="5" t="n">
        <x:v>46167</x:v>
      </x:c>
      <x:c r="E171" s="1" t="n">
        <x:v>2648</x:v>
      </x:c>
      <x:c r="F171" s="6" t="n">
        <x:v>10.41</x:v>
      </x:c>
      <x:c r="G171" s="1" t="str">
        <x:v>None</x:v>
      </x:c>
      <x:c r="H171" s="5" t="n">
        <x:v>46122</x:v>
      </x:c>
      <x:c r="I171" s="5" t="n">
        <x:v>46173</x:v>
      </x:c>
      <x:c r="J171" s="10" t="n">
        <x:f>E171*F171</x:f>
        <x:v>27565.68</x:v>
      </x:c>
    </x:row>
    <x:row r="172">
      <x:c r="A172" s="1" t="str">
        <x:v>INV176</x:v>
      </x:c>
      <x:c r="B172" s="1" t="str">
        <x:v>PO0176</x:v>
      </x:c>
      <x:c r="C172" s="5" t="n">
        <x:v>46235</x:v>
      </x:c>
      <x:c r="D172" s="5" t="n">
        <x:v>46280</x:v>
      </x:c>
      <x:c r="E172" s="1" t="n">
        <x:v>1174</x:v>
      </x:c>
      <x:c r="F172" s="6" t="n">
        <x:v>19.68</x:v>
      </x:c>
      <x:c r="G172" s="1" t="str">
        <x:v>None</x:v>
      </x:c>
      <x:c r="H172" s="5" t="n">
        <x:v>46235</x:v>
      </x:c>
      <x:c r="I172" s="5" t="n">
        <x:v>46278</x:v>
      </x:c>
      <x:c r="J172" s="10" t="n">
        <x:f>E172*F172</x:f>
        <x:v>23104.32</x:v>
      </x:c>
    </x:row>
    <x:row r="173">
      <x:c r="A173" s="1" t="str">
        <x:v>INV177</x:v>
      </x:c>
      <x:c r="B173" s="1" t="str">
        <x:v>PO0177</x:v>
      </x:c>
      <x:c r="C173" s="5" t="n">
        <x:v>46129</x:v>
      </x:c>
      <x:c r="D173" s="5" t="n">
        <x:v>46159</x:v>
      </x:c>
      <x:c r="E173" s="1" t="n">
        <x:v>2835</x:v>
      </x:c>
      <x:c r="F173" s="6" t="n">
        <x:v>13.04</x:v>
      </x:c>
      <x:c r="G173" s="1" t="str">
        <x:v>Price mismatch</x:v>
      </x:c>
      <x:c r="H173" s="5" t="n">
        <x:v>46148</x:v>
      </x:c>
      <x:c r="I173" s="5" t="n">
        <x:v>46164</x:v>
      </x:c>
      <x:c r="J173" s="10" t="n">
        <x:f>E173*F173</x:f>
        <x:v>36968.399999999994</x:v>
      </x:c>
    </x:row>
    <x:row r="174">
      <x:c r="A174" s="1" t="str">
        <x:v>INV178</x:v>
      </x:c>
      <x:c r="B174" s="1" t="str">
        <x:v>PO0178</x:v>
      </x:c>
      <x:c r="C174" s="5" t="n">
        <x:v>46232</x:v>
      </x:c>
      <x:c r="D174" s="5" t="n">
        <x:v>46262</x:v>
      </x:c>
      <x:c r="E174" s="1" t="n">
        <x:v>3552</x:v>
      </x:c>
      <x:c r="F174" s="6" t="n">
        <x:v>22.94</x:v>
      </x:c>
      <x:c r="G174" s="1" t="str">
        <x:v>None</x:v>
      </x:c>
      <x:c r="H174" s="5" t="n">
        <x:v>46232</x:v>
      </x:c>
      <x:c r="I174" s="5" t="n">
        <x:v>46269</x:v>
      </x:c>
      <x:c r="J174" s="10" t="n">
        <x:f>E174*F174</x:f>
        <x:v>81482.88</x:v>
      </x:c>
    </x:row>
    <x:row r="175">
      <x:c r="A175" s="1" t="str">
        <x:v>INV179</x:v>
      </x:c>
      <x:c r="B175" s="1" t="str">
        <x:v>PO0179</x:v>
      </x:c>
      <x:c r="C175" s="5" t="n">
        <x:v>46147</x:v>
      </x:c>
      <x:c r="D175" s="5" t="n">
        <x:v>46177</x:v>
      </x:c>
      <x:c r="E175" s="1" t="n">
        <x:v>3300</x:v>
      </x:c>
      <x:c r="F175" s="6" t="n">
        <x:v>12.53</x:v>
      </x:c>
      <x:c r="G175" s="1" t="str">
        <x:v>None</x:v>
      </x:c>
      <x:c r="H175" s="5" t="n">
        <x:v>46147</x:v>
      </x:c>
      <x:c r="I175" s="5" t="n">
        <x:v>46178</x:v>
      </x:c>
      <x:c r="J175" s="10" t="n">
        <x:f>E175*F175</x:f>
        <x:v>41349</x:v>
      </x:c>
    </x:row>
    <x:row r="176">
      <x:c r="A176" s="1" t="str">
        <x:v>INV180</x:v>
      </x:c>
      <x:c r="B176" s="1" t="str">
        <x:v>PO0180</x:v>
      </x:c>
      <x:c r="C176" s="5" t="n">
        <x:v>46223</x:v>
      </x:c>
      <x:c r="D176" s="5" t="n">
        <x:v>46253</x:v>
      </x:c>
      <x:c r="E176" s="1" t="n">
        <x:v>1619</x:v>
      </x:c>
      <x:c r="F176" s="6" t="n">
        <x:v>9.17</x:v>
      </x:c>
      <x:c r="G176" s="1" t="str">
        <x:v>None</x:v>
      </x:c>
      <x:c r="H176" s="5" t="n">
        <x:v>46223</x:v>
      </x:c>
      <x:c r="I176" s="5" t="n">
        <x:v>46261</x:v>
      </x:c>
      <x:c r="J176" s="10" t="n">
        <x:f>E176*F176</x:f>
        <x:v>14846.23</x:v>
      </x:c>
    </x:row>
    <x:row r="177">
      <x:c r="A177" s="1" t="str">
        <x:v>INV181</x:v>
      </x:c>
      <x:c r="B177" s="1" t="str">
        <x:v>PO0181</x:v>
      </x:c>
      <x:c r="C177" s="5" t="n">
        <x:v>46230</x:v>
      </x:c>
      <x:c r="D177" s="5" t="n">
        <x:v>46260</x:v>
      </x:c>
      <x:c r="E177" s="1" t="n">
        <x:v>974</x:v>
      </x:c>
      <x:c r="F177" s="6" t="n">
        <x:v>1.53</x:v>
      </x:c>
      <x:c r="G177" s="1" t="str">
        <x:v>None</x:v>
      </x:c>
      <x:c r="H177" s="5" t="n">
        <x:v>46230</x:v>
      </x:c>
      <x:c r="I177" s="5" t="n">
        <x:v>46260</x:v>
      </x:c>
      <x:c r="J177" s="10" t="n">
        <x:f>E177*F177</x:f>
        <x:v>1490.22</x:v>
      </x:c>
    </x:row>
    <x:row r="178">
      <x:c r="A178" s="1" t="str">
        <x:v>INV182</x:v>
      </x:c>
      <x:c r="B178" s="1" t="str">
        <x:v>PO0182</x:v>
      </x:c>
      <x:c r="C178" s="5" t="n">
        <x:v>46177</x:v>
      </x:c>
      <x:c r="D178" s="5" t="n">
        <x:v>46222</x:v>
      </x:c>
      <x:c r="E178" s="1" t="n">
        <x:v>1994</x:v>
      </x:c>
      <x:c r="F178" s="6" t="n">
        <x:v>24.51</x:v>
      </x:c>
      <x:c r="G178" s="1" t="str">
        <x:v>None</x:v>
      </x:c>
      <x:c r="H178" s="5" t="n">
        <x:v>46177</x:v>
      </x:c>
      <x:c r="I178" s="5" t="n">
        <x:v>46219</x:v>
      </x:c>
      <x:c r="J178" s="10" t="n">
        <x:f>E178*F178</x:f>
        <x:v>48872.94</x:v>
      </x:c>
    </x:row>
    <x:row r="179">
      <x:c r="A179" s="1" t="str">
        <x:v>INV183</x:v>
      </x:c>
      <x:c r="B179" s="1" t="str">
        <x:v>PO0183</x:v>
      </x:c>
      <x:c r="C179" s="5" t="n">
        <x:v>46114</x:v>
      </x:c>
      <x:c r="D179" s="5" t="n">
        <x:v>46174</x:v>
      </x:c>
      <x:c r="E179" s="1" t="n">
        <x:v>3969</x:v>
      </x:c>
      <x:c r="F179" s="6" t="n">
        <x:v>5.7</x:v>
      </x:c>
      <x:c r="G179" s="1" t="str">
        <x:v>None</x:v>
      </x:c>
      <x:c r="H179" s="5" t="n">
        <x:v>46114</x:v>
      </x:c>
      <x:c r="I179" s="5" t="n">
        <x:v>46172</x:v>
      </x:c>
      <x:c r="J179" s="10" t="n">
        <x:f>E179*F179</x:f>
        <x:v>22623.3</x:v>
      </x:c>
    </x:row>
    <x:row r="180">
      <x:c r="A180" s="1" t="str">
        <x:v>INV184</x:v>
      </x:c>
      <x:c r="B180" s="1" t="str">
        <x:v>PO0184</x:v>
      </x:c>
      <x:c r="C180" s="5" t="n">
        <x:v>46262</x:v>
      </x:c>
      <x:c r="D180" s="5" t="n">
        <x:v>46307</x:v>
      </x:c>
      <x:c r="E180" s="1" t="n">
        <x:v>3986</x:v>
      </x:c>
      <x:c r="F180" s="6" t="n">
        <x:v>20.2</x:v>
      </x:c>
      <x:c r="G180" s="1" t="str">
        <x:v>None</x:v>
      </x:c>
      <x:c r="H180" s="5" t="n">
        <x:v>46262</x:v>
      </x:c>
      <x:c r="I180" s="5"/>
      <x:c r="J180" s="10" t="n">
        <x:f>E180*F180</x:f>
        <x:v>80517.2</x:v>
      </x:c>
    </x:row>
    <x:row r="181">
      <x:c r="A181" s="1" t="str">
        <x:v>INV185</x:v>
      </x:c>
      <x:c r="B181" s="1" t="str">
        <x:v>PO0185</x:v>
      </x:c>
      <x:c r="C181" s="5" t="n">
        <x:v>46278</x:v>
      </x:c>
      <x:c r="D181" s="5" t="n">
        <x:v>46308</x:v>
      </x:c>
      <x:c r="E181" s="1" t="n">
        <x:v>988</x:v>
      </x:c>
      <x:c r="F181" s="6" t="n">
        <x:v>19.92</x:v>
      </x:c>
      <x:c r="G181" s="1" t="str">
        <x:v>None</x:v>
      </x:c>
      <x:c r="H181" s="5" t="n">
        <x:v>46278</x:v>
      </x:c>
      <x:c r="I181" s="5"/>
      <x:c r="J181" s="10" t="n">
        <x:f>E181*F181</x:f>
        <x:v>19680.960000000003</x:v>
      </x:c>
    </x:row>
    <x:row r="182">
      <x:c r="A182" s="1" t="str">
        <x:v>INV186</x:v>
      </x:c>
      <x:c r="B182" s="1" t="str">
        <x:v>PO0186</x:v>
      </x:c>
      <x:c r="C182" s="5" t="n">
        <x:v>46079</x:v>
      </x:c>
      <x:c r="D182" s="5" t="n">
        <x:v>46109</x:v>
      </x:c>
      <x:c r="E182" s="1" t="n">
        <x:v>932</x:v>
      </x:c>
      <x:c r="F182" s="6" t="n">
        <x:v>6.51</x:v>
      </x:c>
      <x:c r="G182" s="1" t="str">
        <x:v>None</x:v>
      </x:c>
      <x:c r="H182" s="5" t="n">
        <x:v>46079</x:v>
      </x:c>
      <x:c r="I182" s="5" t="n">
        <x:v>46106</x:v>
      </x:c>
      <x:c r="J182" s="10" t="n">
        <x:f>E182*F182</x:f>
        <x:v>6067.32</x:v>
      </x:c>
    </x:row>
    <x:row r="183">
      <x:c r="A183" s="1" t="str">
        <x:v>INV187</x:v>
      </x:c>
      <x:c r="B183" s="1" t="str">
        <x:v>PO0187</x:v>
      </x:c>
      <x:c r="C183" s="5" t="n">
        <x:v>46161</x:v>
      </x:c>
      <x:c r="D183" s="5" t="n">
        <x:v>46206</x:v>
      </x:c>
      <x:c r="E183" s="1" t="n">
        <x:v>4059</x:v>
      </x:c>
      <x:c r="F183" s="6" t="n">
        <x:v>14.08</x:v>
      </x:c>
      <x:c r="G183" s="1" t="str">
        <x:v>None</x:v>
      </x:c>
      <x:c r="H183" s="5" t="n">
        <x:v>46161</x:v>
      </x:c>
      <x:c r="I183" s="5" t="n">
        <x:v>46207</x:v>
      </x:c>
      <x:c r="J183" s="10" t="n">
        <x:f>E183*F183</x:f>
        <x:v>57150.72</x:v>
      </x:c>
    </x:row>
    <x:row r="184">
      <x:c r="A184" s="1" t="str">
        <x:v>INV188</x:v>
      </x:c>
      <x:c r="B184" s="1" t="str">
        <x:v>PO0188</x:v>
      </x:c>
      <x:c r="C184" s="5" t="n">
        <x:v>46241</x:v>
      </x:c>
      <x:c r="D184" s="5" t="n">
        <x:v>46271</x:v>
      </x:c>
      <x:c r="E184" s="1" t="n">
        <x:v>259</x:v>
      </x:c>
      <x:c r="F184" s="6" t="n">
        <x:v>18.62</x:v>
      </x:c>
      <x:c r="G184" s="1" t="str">
        <x:v>None</x:v>
      </x:c>
      <x:c r="H184" s="5" t="n">
        <x:v>46241</x:v>
      </x:c>
      <x:c r="I184" s="5" t="n">
        <x:v>46272</x:v>
      </x:c>
      <x:c r="J184" s="10" t="n">
        <x:f>E184*F184</x:f>
        <x:v>4822.58</x:v>
      </x:c>
    </x:row>
    <x:row r="185">
      <x:c r="A185" s="1" t="str">
        <x:v>INV189</x:v>
      </x:c>
      <x:c r="B185" s="1" t="str">
        <x:v>PO0189</x:v>
      </x:c>
      <x:c r="C185" s="5" t="n">
        <x:v>46122</x:v>
      </x:c>
      <x:c r="D185" s="5" t="n">
        <x:v>46182</x:v>
      </x:c>
      <x:c r="E185" s="1" t="n">
        <x:v>3682</x:v>
      </x:c>
      <x:c r="F185" s="6" t="n">
        <x:v>16.66</x:v>
      </x:c>
      <x:c r="G185" s="1" t="str">
        <x:v>None</x:v>
      </x:c>
      <x:c r="H185" s="5" t="n">
        <x:v>46122</x:v>
      </x:c>
      <x:c r="I185" s="5" t="n">
        <x:v>46185</x:v>
      </x:c>
      <x:c r="J185" s="10" t="n">
        <x:f>E185*F185</x:f>
        <x:v>61342.12</x:v>
      </x:c>
    </x:row>
    <x:row r="186">
      <x:c r="A186" s="1" t="str">
        <x:v>INV190</x:v>
      </x:c>
      <x:c r="B186" s="1" t="str">
        <x:v>PO0190</x:v>
      </x:c>
      <x:c r="C186" s="5" t="n">
        <x:v>46137</x:v>
      </x:c>
      <x:c r="D186" s="5" t="n">
        <x:v>46167</x:v>
      </x:c>
      <x:c r="E186" s="1" t="n">
        <x:v>4618</x:v>
      </x:c>
      <x:c r="F186" s="6" t="n">
        <x:v>17.83</x:v>
      </x:c>
      <x:c r="G186" s="1" t="str">
        <x:v>Missing documentation</x:v>
      </x:c>
      <x:c r="H186" s="5" t="n">
        <x:v>46147</x:v>
      </x:c>
      <x:c r="I186" s="5" t="n">
        <x:v>46172</x:v>
      </x:c>
      <x:c r="J186" s="10" t="n">
        <x:f>E186*F186</x:f>
        <x:v>82338.93999999999</x:v>
      </x:c>
    </x:row>
    <x:row r="187">
      <x:c r="A187" s="1" t="str">
        <x:v>INV191</x:v>
      </x:c>
      <x:c r="B187" s="1" t="str">
        <x:v>PO0191</x:v>
      </x:c>
      <x:c r="C187" s="5" t="n">
        <x:v>46222</x:v>
      </x:c>
      <x:c r="D187" s="5" t="n">
        <x:v>46252</x:v>
      </x:c>
      <x:c r="E187" s="1" t="n">
        <x:v>1702</x:v>
      </x:c>
      <x:c r="F187" s="6" t="n">
        <x:v>1.61</x:v>
      </x:c>
      <x:c r="G187" s="1" t="str">
        <x:v>None</x:v>
      </x:c>
      <x:c r="H187" s="5" t="n">
        <x:v>46222</x:v>
      </x:c>
      <x:c r="I187" s="5" t="n">
        <x:v>46254</x:v>
      </x:c>
      <x:c r="J187" s="10" t="n">
        <x:f>E187*F187</x:f>
        <x:v>2740.2200000000003</x:v>
      </x:c>
    </x:row>
    <x:row r="188">
      <x:c r="A188" s="1" t="str">
        <x:v>INV192</x:v>
      </x:c>
      <x:c r="B188" s="1" t="str">
        <x:v>PO0192</x:v>
      </x:c>
      <x:c r="C188" s="5" t="n">
        <x:v>46128</x:v>
      </x:c>
      <x:c r="D188" s="5" t="n">
        <x:v>46158</x:v>
      </x:c>
      <x:c r="E188" s="1" t="n">
        <x:v>3136</x:v>
      </x:c>
      <x:c r="F188" s="6" t="n">
        <x:v>1.05</x:v>
      </x:c>
      <x:c r="G188" s="1" t="str">
        <x:v>None</x:v>
      </x:c>
      <x:c r="H188" s="5" t="n">
        <x:v>46128</x:v>
      </x:c>
      <x:c r="I188" s="5" t="n">
        <x:v>46160</x:v>
      </x:c>
      <x:c r="J188" s="10" t="n">
        <x:f>E188*F188</x:f>
        <x:v>3292.8</x:v>
      </x:c>
    </x:row>
    <x:row r="189">
      <x:c r="A189" s="1" t="str">
        <x:v>INV193</x:v>
      </x:c>
      <x:c r="B189" s="1" t="str">
        <x:v>PO0193</x:v>
      </x:c>
      <x:c r="C189" s="5" t="n">
        <x:v>46242</x:v>
      </x:c>
      <x:c r="D189" s="5" t="n">
        <x:v>46272</x:v>
      </x:c>
      <x:c r="E189" s="1" t="n">
        <x:v>1971</x:v>
      </x:c>
      <x:c r="F189" s="6" t="n">
        <x:v>20.35</x:v>
      </x:c>
      <x:c r="G189" s="1" t="str">
        <x:v>None</x:v>
      </x:c>
      <x:c r="H189" s="5" t="n">
        <x:v>46242</x:v>
      </x:c>
      <x:c r="I189" s="5" t="n">
        <x:v>46273</x:v>
      </x:c>
      <x:c r="J189" s="10" t="n">
        <x:f>E189*F189</x:f>
        <x:v>40109.850000000006</x:v>
      </x:c>
    </x:row>
    <x:row r="190">
      <x:c r="A190" s="1" t="str">
        <x:v>INV194</x:v>
      </x:c>
      <x:c r="B190" s="1" t="str">
        <x:v>PO0194</x:v>
      </x:c>
      <x:c r="C190" s="5" t="n">
        <x:v>46251</x:v>
      </x:c>
      <x:c r="D190" s="5" t="n">
        <x:v>46311</x:v>
      </x:c>
      <x:c r="E190" s="1" t="n">
        <x:v>1335</x:v>
      </x:c>
      <x:c r="F190" s="6" t="n">
        <x:v>12.39</x:v>
      </x:c>
      <x:c r="G190" s="1" t="str">
        <x:v>None</x:v>
      </x:c>
      <x:c r="H190" s="5" t="n">
        <x:v>46251</x:v>
      </x:c>
      <x:c r="I190" s="5"/>
      <x:c r="J190" s="10" t="n">
        <x:f>E190*F190</x:f>
        <x:v>16540.65</x:v>
      </x:c>
    </x:row>
    <x:row r="191">
      <x:c r="A191" s="1" t="str">
        <x:v>INV195</x:v>
      </x:c>
      <x:c r="B191" s="1" t="str">
        <x:v>PO0195</x:v>
      </x:c>
      <x:c r="C191" s="5" t="n">
        <x:v>46163</x:v>
      </x:c>
      <x:c r="D191" s="5" t="n">
        <x:v>46223</x:v>
      </x:c>
      <x:c r="E191" s="1" t="n">
        <x:v>3565</x:v>
      </x:c>
      <x:c r="F191" s="6" t="n">
        <x:v>17.34</x:v>
      </x:c>
      <x:c r="G191" s="1" t="str">
        <x:v>None</x:v>
      </x:c>
      <x:c r="H191" s="5" t="n">
        <x:v>46163</x:v>
      </x:c>
      <x:c r="I191" s="5" t="n">
        <x:v>46223</x:v>
      </x:c>
      <x:c r="J191" s="10" t="n">
        <x:f>E191*F191</x:f>
        <x:v>61817.1</x:v>
      </x:c>
    </x:row>
    <x:row r="192">
      <x:c r="A192" s="1" t="str">
        <x:v>INV196</x:v>
      </x:c>
      <x:c r="B192" s="1" t="str">
        <x:v>PO0196</x:v>
      </x:c>
      <x:c r="C192" s="5" t="n">
        <x:v>46169</x:v>
      </x:c>
      <x:c r="D192" s="5" t="n">
        <x:v>46229</x:v>
      </x:c>
      <x:c r="E192" s="1" t="n">
        <x:v>561</x:v>
      </x:c>
      <x:c r="F192" s="6" t="n">
        <x:v>23.7</x:v>
      </x:c>
      <x:c r="G192" s="1" t="str">
        <x:v>None</x:v>
      </x:c>
      <x:c r="H192" s="5" t="n">
        <x:v>46169</x:v>
      </x:c>
      <x:c r="I192" s="5" t="n">
        <x:v>46233</x:v>
      </x:c>
      <x:c r="J192" s="10" t="n">
        <x:f>E192*F192</x:f>
        <x:v>13295.699999999999</x:v>
      </x:c>
    </x:row>
    <x:row r="193">
      <x:c r="A193" s="1" t="str">
        <x:v>INV197</x:v>
      </x:c>
      <x:c r="B193" s="1" t="str">
        <x:v>PO0197</x:v>
      </x:c>
      <x:c r="C193" s="5" t="n">
        <x:v>46169</x:v>
      </x:c>
      <x:c r="D193" s="5" t="n">
        <x:v>46214</x:v>
      </x:c>
      <x:c r="E193" s="1" t="n">
        <x:v>1149</x:v>
      </x:c>
      <x:c r="F193" s="6" t="n">
        <x:v>12.48</x:v>
      </x:c>
      <x:c r="G193" s="1" t="str">
        <x:v>None</x:v>
      </x:c>
      <x:c r="H193" s="5" t="n">
        <x:v>46169</x:v>
      </x:c>
      <x:c r="I193" s="5" t="n">
        <x:v>46216</x:v>
      </x:c>
      <x:c r="J193" s="10" t="n">
        <x:f>E193*F193</x:f>
        <x:v>14339.52</x:v>
      </x:c>
    </x:row>
    <x:row r="194">
      <x:c r="A194" s="1" t="str">
        <x:v>INV198</x:v>
      </x:c>
      <x:c r="B194" s="1" t="str">
        <x:v>PO0198</x:v>
      </x:c>
      <x:c r="C194" s="5" t="n">
        <x:v>46212</x:v>
      </x:c>
      <x:c r="D194" s="5" t="n">
        <x:v>46242</x:v>
      </x:c>
      <x:c r="E194" s="1" t="n">
        <x:v>553</x:v>
      </x:c>
      <x:c r="F194" s="6" t="n">
        <x:v>9.8</x:v>
      </x:c>
      <x:c r="G194" s="1" t="str">
        <x:v>None</x:v>
      </x:c>
      <x:c r="H194" s="5" t="n">
        <x:v>46212</x:v>
      </x:c>
      <x:c r="I194" s="5" t="n">
        <x:v>46244</x:v>
      </x:c>
      <x:c r="J194" s="10" t="n">
        <x:f>E194*F194</x:f>
        <x:v>5419.400000000001</x:v>
      </x:c>
    </x:row>
    <x:row r="195">
      <x:c r="A195" s="1" t="str">
        <x:v>INV199</x:v>
      </x:c>
      <x:c r="B195" s="1" t="str">
        <x:v>PO0199</x:v>
      </x:c>
      <x:c r="C195" s="5" t="n">
        <x:v>46157</x:v>
      </x:c>
      <x:c r="D195" s="5" t="n">
        <x:v>46217</x:v>
      </x:c>
      <x:c r="E195" s="1" t="n">
        <x:v>415</x:v>
      </x:c>
      <x:c r="F195" s="6" t="n">
        <x:v>3.75</x:v>
      </x:c>
      <x:c r="G195" s="1" t="str">
        <x:v>Missing documentation</x:v>
      </x:c>
      <x:c r="H195" s="5" t="n">
        <x:v>46172</x:v>
      </x:c>
      <x:c r="I195" s="5" t="n">
        <x:v>46216</x:v>
      </x:c>
      <x:c r="J195" s="10" t="n">
        <x:f>E195*F195</x:f>
        <x:v>1556.25</x:v>
      </x:c>
    </x:row>
    <x:row r="196">
      <x:c r="A196" s="1" t="str">
        <x:v>INV200</x:v>
      </x:c>
      <x:c r="B196" s="1" t="str">
        <x:v>PO0200</x:v>
      </x:c>
      <x:c r="C196" s="5" t="n">
        <x:v>46106</x:v>
      </x:c>
      <x:c r="D196" s="5" t="n">
        <x:v>46151</x:v>
      </x:c>
      <x:c r="E196" s="1" t="n">
        <x:v>896</x:v>
      </x:c>
      <x:c r="F196" s="6" t="n">
        <x:v>3.26</x:v>
      </x:c>
      <x:c r="G196" s="1" t="str">
        <x:v>Quantity mismatch</x:v>
      </x:c>
      <x:c r="H196" s="5" t="n">
        <x:v>46117</x:v>
      </x:c>
      <x:c r="I196" s="5" t="n">
        <x:v>46151</x:v>
      </x:c>
      <x:c r="J196" s="10" t="n">
        <x:f>E196*F196</x:f>
        <x:v>2920.96</x:v>
      </x:c>
    </x:row>
    <x:row r="197">
      <x:c r="A197" s="1" t="str">
        <x:v>INV201</x:v>
      </x:c>
      <x:c r="B197" s="1" t="str">
        <x:v>PO0201</x:v>
      </x:c>
      <x:c r="C197" s="5" t="n">
        <x:v>46119</x:v>
      </x:c>
      <x:c r="D197" s="5" t="n">
        <x:v>46149</x:v>
      </x:c>
      <x:c r="E197" s="1" t="n">
        <x:v>4743</x:v>
      </x:c>
      <x:c r="F197" s="6" t="n">
        <x:v>20.6</x:v>
      </x:c>
      <x:c r="G197" s="1" t="str">
        <x:v>Quantity mismatch</x:v>
      </x:c>
      <x:c r="H197" s="5" t="n">
        <x:v>46140</x:v>
      </x:c>
      <x:c r="I197" s="5" t="n">
        <x:v>46155</x:v>
      </x:c>
      <x:c r="J197" s="10" t="n">
        <x:f>E197*F197</x:f>
        <x:v>97705.8</x:v>
      </x:c>
    </x:row>
    <x:row r="198">
      <x:c r="A198" s="1" t="str">
        <x:v>INV202</x:v>
      </x:c>
      <x:c r="B198" s="1" t="str">
        <x:v>PO0202</x:v>
      </x:c>
      <x:c r="C198" s="5" t="n">
        <x:v>46171</x:v>
      </x:c>
      <x:c r="D198" s="5" t="n">
        <x:v>46201</x:v>
      </x:c>
      <x:c r="E198" s="1" t="n">
        <x:v>3581</x:v>
      </x:c>
      <x:c r="F198" s="6" t="n">
        <x:v>13.23</x:v>
      </x:c>
      <x:c r="G198" s="1" t="str">
        <x:v>Quantity mismatch</x:v>
      </x:c>
      <x:c r="H198" s="5" t="n">
        <x:v>46179</x:v>
      </x:c>
      <x:c r="I198" s="5" t="n">
        <x:v>46201</x:v>
      </x:c>
      <x:c r="J198" s="10" t="n">
        <x:f>E198*F198</x:f>
        <x:v>47376.630000000005</x:v>
      </x:c>
    </x:row>
    <x:row r="199">
      <x:c r="A199" s="1" t="str">
        <x:v>INV203</x:v>
      </x:c>
      <x:c r="B199" s="1" t="str">
        <x:v>PO0203</x:v>
      </x:c>
      <x:c r="C199" s="5" t="n">
        <x:v>46199</x:v>
      </x:c>
      <x:c r="D199" s="5" t="n">
        <x:v>46229</x:v>
      </x:c>
      <x:c r="E199" s="1" t="n">
        <x:v>894</x:v>
      </x:c>
      <x:c r="F199" s="6" t="n">
        <x:v>2.28</x:v>
      </x:c>
      <x:c r="G199" s="1" t="str">
        <x:v>None</x:v>
      </x:c>
      <x:c r="H199" s="5" t="n">
        <x:v>46199</x:v>
      </x:c>
      <x:c r="I199" s="5" t="n">
        <x:v>46235</x:v>
      </x:c>
      <x:c r="J199" s="10" t="n">
        <x:f>E199*F199</x:f>
        <x:v>2038.32</x:v>
      </x:c>
    </x:row>
    <x:row r="200">
      <x:c r="A200" s="1" t="str">
        <x:v>INV204</x:v>
      </x:c>
      <x:c r="B200" s="1" t="str">
        <x:v>PO0204</x:v>
      </x:c>
      <x:c r="C200" s="5" t="n">
        <x:v>46289</x:v>
      </x:c>
      <x:c r="D200" s="5" t="n">
        <x:v>46319</x:v>
      </x:c>
      <x:c r="E200" s="1" t="n">
        <x:v>3192</x:v>
      </x:c>
      <x:c r="F200" s="6" t="n">
        <x:v>5.38</x:v>
      </x:c>
      <x:c r="G200" s="1" t="str">
        <x:v>None</x:v>
      </x:c>
      <x:c r="H200" s="5" t="n">
        <x:v>46289</x:v>
      </x:c>
      <x:c r="I200" s="5"/>
      <x:c r="J200" s="10" t="n">
        <x:f>E200*F200</x:f>
        <x:v>17172.96</x:v>
      </x:c>
    </x:row>
    <x:row r="201">
      <x:c r="A201" s="1" t="str">
        <x:v>INV205</x:v>
      </x:c>
      <x:c r="B201" s="1" t="str">
        <x:v>PO0205</x:v>
      </x:c>
      <x:c r="C201" s="5" t="n">
        <x:v>46106</x:v>
      </x:c>
      <x:c r="D201" s="5" t="n">
        <x:v>46151</x:v>
      </x:c>
      <x:c r="E201" s="1" t="n">
        <x:v>1964</x:v>
      </x:c>
      <x:c r="F201" s="6" t="n">
        <x:v>15.03</x:v>
      </x:c>
      <x:c r="G201" s="1" t="str">
        <x:v>None</x:v>
      </x:c>
      <x:c r="H201" s="5" t="n">
        <x:v>46106</x:v>
      </x:c>
      <x:c r="I201" s="5" t="n">
        <x:v>46154</x:v>
      </x:c>
      <x:c r="J201" s="10" t="n">
        <x:f>E201*F201</x:f>
        <x:v>29518.92</x:v>
      </x:c>
    </x:row>
    <x:row r="202">
      <x:c r="A202" s="1" t="str">
        <x:v>INV206</x:v>
      </x:c>
      <x:c r="B202" s="1" t="str">
        <x:v>PO0206</x:v>
      </x:c>
      <x:c r="C202" s="5" t="n">
        <x:v>46199</x:v>
      </x:c>
      <x:c r="D202" s="5" t="n">
        <x:v>46229</x:v>
      </x:c>
      <x:c r="E202" s="1" t="n">
        <x:v>3112</x:v>
      </x:c>
      <x:c r="F202" s="6" t="n">
        <x:v>2.7</x:v>
      </x:c>
      <x:c r="G202" s="1" t="str">
        <x:v>None</x:v>
      </x:c>
      <x:c r="H202" s="5" t="n">
        <x:v>46199</x:v>
      </x:c>
      <x:c r="I202" s="5" t="n">
        <x:v>46226</x:v>
      </x:c>
      <x:c r="J202" s="10" t="n">
        <x:f>E202*F202</x:f>
        <x:v>8402.400000000001</x:v>
      </x:c>
    </x:row>
    <x:row r="203">
      <x:c r="A203" s="1" t="str">
        <x:v>INV207</x:v>
      </x:c>
      <x:c r="B203" s="1" t="str">
        <x:v>PO0207</x:v>
      </x:c>
      <x:c r="C203" s="5" t="n">
        <x:v>46066</x:v>
      </x:c>
      <x:c r="D203" s="5" t="n">
        <x:v>46111</x:v>
      </x:c>
      <x:c r="E203" s="1" t="n">
        <x:v>4238</x:v>
      </x:c>
      <x:c r="F203" s="6" t="n">
        <x:v>2.39</x:v>
      </x:c>
      <x:c r="G203" s="1" t="str">
        <x:v>None</x:v>
      </x:c>
      <x:c r="H203" s="5" t="n">
        <x:v>46066</x:v>
      </x:c>
      <x:c r="I203" s="5" t="n">
        <x:v>46110</x:v>
      </x:c>
      <x:c r="J203" s="10" t="n">
        <x:f>E203*F203</x:f>
        <x:v>10128.82</x:v>
      </x:c>
    </x:row>
    <x:row r="204">
      <x:c r="A204" s="1" t="str">
        <x:v>INV208</x:v>
      </x:c>
      <x:c r="B204" s="1" t="str">
        <x:v>PO0208</x:v>
      </x:c>
      <x:c r="C204" s="5" t="n">
        <x:v>46103</x:v>
      </x:c>
      <x:c r="D204" s="5" t="n">
        <x:v>46133</x:v>
      </x:c>
      <x:c r="E204" s="1" t="n">
        <x:v>1492</x:v>
      </x:c>
      <x:c r="F204" s="6" t="n">
        <x:v>12.41</x:v>
      </x:c>
      <x:c r="G204" s="1" t="str">
        <x:v>None</x:v>
      </x:c>
      <x:c r="H204" s="5" t="n">
        <x:v>46103</x:v>
      </x:c>
      <x:c r="I204" s="5" t="n">
        <x:v>46130</x:v>
      </x:c>
      <x:c r="J204" s="10" t="n">
        <x:f>E204*F204</x:f>
        <x:v>18515.72</x:v>
      </x:c>
    </x:row>
    <x:row r="205">
      <x:c r="A205" s="1" t="str">
        <x:v>INV209</x:v>
      </x:c>
      <x:c r="B205" s="1" t="str">
        <x:v>PO0209</x:v>
      </x:c>
      <x:c r="C205" s="5" t="n">
        <x:v>46163</x:v>
      </x:c>
      <x:c r="D205" s="5" t="n">
        <x:v>46223</x:v>
      </x:c>
      <x:c r="E205" s="1" t="n">
        <x:v>1993</x:v>
      </x:c>
      <x:c r="F205" s="6" t="n">
        <x:v>13.54</x:v>
      </x:c>
      <x:c r="G205" s="1" t="str">
        <x:v>None</x:v>
      </x:c>
      <x:c r="H205" s="5" t="n">
        <x:v>46163</x:v>
      </x:c>
      <x:c r="I205" s="5" t="n">
        <x:v>46221</x:v>
      </x:c>
      <x:c r="J205" s="10" t="n">
        <x:f>E205*F205</x:f>
        <x:v>26985.219999999998</x:v>
      </x:c>
    </x:row>
    <x:row r="206">
      <x:c r="A206" s="1" t="str">
        <x:v>INV210</x:v>
      </x:c>
      <x:c r="B206" s="1" t="str">
        <x:v>PO0210</x:v>
      </x:c>
      <x:c r="C206" s="5" t="n">
        <x:v>46237</x:v>
      </x:c>
      <x:c r="D206" s="5" t="n">
        <x:v>46282</x:v>
      </x:c>
      <x:c r="E206" s="1" t="n">
        <x:v>3982</x:v>
      </x:c>
      <x:c r="F206" s="6" t="n">
        <x:v>12.89</x:v>
      </x:c>
      <x:c r="G206" s="1" t="str">
        <x:v>None</x:v>
      </x:c>
      <x:c r="H206" s="5" t="n">
        <x:v>46237</x:v>
      </x:c>
      <x:c r="I206" s="5" t="n">
        <x:v>46279</x:v>
      </x:c>
      <x:c r="J206" s="10" t="n">
        <x:f>E206*F206</x:f>
        <x:v>51327.98</x:v>
      </x:c>
    </x:row>
    <x:row r="207">
      <x:c r="A207" s="1" t="str">
        <x:v>INV211</x:v>
      </x:c>
      <x:c r="B207" s="1" t="str">
        <x:v>PO0211</x:v>
      </x:c>
      <x:c r="C207" s="5" t="n">
        <x:v>46216</x:v>
      </x:c>
      <x:c r="D207" s="5" t="n">
        <x:v>46276</x:v>
      </x:c>
      <x:c r="E207" s="1" t="n">
        <x:v>2141</x:v>
      </x:c>
      <x:c r="F207" s="6" t="n">
        <x:v>5.21</x:v>
      </x:c>
      <x:c r="G207" s="1" t="str">
        <x:v>Missing documentation</x:v>
      </x:c>
      <x:c r="H207" s="5" t="n">
        <x:v>46236</x:v>
      </x:c>
      <x:c r="I207" s="5" t="n">
        <x:v>46282</x:v>
      </x:c>
      <x:c r="J207" s="10" t="n">
        <x:f>E207*F207</x:f>
        <x:v>11154.61</x:v>
      </x:c>
    </x:row>
    <x:row r="208">
      <x:c r="A208" s="1" t="str">
        <x:v>INV212</x:v>
      </x:c>
      <x:c r="B208" s="1" t="str">
        <x:v>PO0212</x:v>
      </x:c>
      <x:c r="C208" s="5" t="n">
        <x:v>46160</x:v>
      </x:c>
      <x:c r="D208" s="5" t="n">
        <x:v>46220</x:v>
      </x:c>
      <x:c r="E208" s="1" t="n">
        <x:v>468</x:v>
      </x:c>
      <x:c r="F208" s="6" t="n">
        <x:v>7.98</x:v>
      </x:c>
      <x:c r="G208" s="1" t="str">
        <x:v>None</x:v>
      </x:c>
      <x:c r="H208" s="5" t="n">
        <x:v>46160</x:v>
      </x:c>
      <x:c r="I208" s="5" t="n">
        <x:v>46228</x:v>
      </x:c>
      <x:c r="J208" s="10" t="n">
        <x:f>E208*F208</x:f>
        <x:v>3734.6400000000003</x:v>
      </x:c>
    </x:row>
    <x:row r="209">
      <x:c r="A209" s="1" t="str">
        <x:v>INV213</x:v>
      </x:c>
      <x:c r="B209" s="1" t="str">
        <x:v>PO0213</x:v>
      </x:c>
      <x:c r="C209" s="5" t="n">
        <x:v>46096</x:v>
      </x:c>
      <x:c r="D209" s="5" t="n">
        <x:v>46141</x:v>
      </x:c>
      <x:c r="E209" s="1" t="n">
        <x:v>1556</x:v>
      </x:c>
      <x:c r="F209" s="6" t="n">
        <x:v>10.31</x:v>
      </x:c>
      <x:c r="G209" s="1" t="str">
        <x:v>None</x:v>
      </x:c>
      <x:c r="H209" s="5" t="n">
        <x:v>46096</x:v>
      </x:c>
      <x:c r="I209" s="5" t="n">
        <x:v>46138</x:v>
      </x:c>
      <x:c r="J209" s="10" t="n">
        <x:f>E209*F209</x:f>
        <x:v>16042.36</x:v>
      </x:c>
    </x:row>
    <x:row r="210">
      <x:c r="A210" s="1" t="str">
        <x:v>INV214</x:v>
      </x:c>
      <x:c r="B210" s="1" t="str">
        <x:v>PO0214</x:v>
      </x:c>
      <x:c r="C210" s="5" t="n">
        <x:v>46232</x:v>
      </x:c>
      <x:c r="D210" s="5" t="n">
        <x:v>46277</x:v>
      </x:c>
      <x:c r="E210" s="1" t="n">
        <x:v>3401</x:v>
      </x:c>
      <x:c r="F210" s="6" t="n">
        <x:v>12.31</x:v>
      </x:c>
      <x:c r="G210" s="1" t="str">
        <x:v>None</x:v>
      </x:c>
      <x:c r="H210" s="5" t="n">
        <x:v>46232</x:v>
      </x:c>
      <x:c r="I210" s="5" t="n">
        <x:v>46278</x:v>
      </x:c>
      <x:c r="J210" s="10" t="n">
        <x:f>E210*F210</x:f>
        <x:v>41866.310000000005</x:v>
      </x:c>
    </x:row>
    <x:row r="211">
      <x:c r="A211" s="1" t="str">
        <x:v>INV215</x:v>
      </x:c>
      <x:c r="B211" s="1" t="str">
        <x:v>PO0215</x:v>
      </x:c>
      <x:c r="C211" s="5" t="n">
        <x:v>46104</x:v>
      </x:c>
      <x:c r="D211" s="5" t="n">
        <x:v>46164</x:v>
      </x:c>
      <x:c r="E211" s="1" t="n">
        <x:v>1947</x:v>
      </x:c>
      <x:c r="F211" s="6" t="n">
        <x:v>17.1</x:v>
      </x:c>
      <x:c r="G211" s="1" t="str">
        <x:v>Price mismatch</x:v>
      </x:c>
      <x:c r="H211" s="5" t="n">
        <x:v>46127</x:v>
      </x:c>
      <x:c r="I211" s="5" t="n">
        <x:v>46172</x:v>
      </x:c>
      <x:c r="J211" s="10" t="n">
        <x:f>E211*F211</x:f>
        <x:v>33293.700000000004</x:v>
      </x:c>
    </x:row>
    <x:row r="212">
      <x:c r="A212" s="1" t="str">
        <x:v>INV216</x:v>
      </x:c>
      <x:c r="B212" s="1" t="str">
        <x:v>PO0216</x:v>
      </x:c>
      <x:c r="C212" s="5" t="n">
        <x:v>46077</x:v>
      </x:c>
      <x:c r="D212" s="5" t="n">
        <x:v>46122</x:v>
      </x:c>
      <x:c r="E212" s="1" t="n">
        <x:v>2857</x:v>
      </x:c>
      <x:c r="F212" s="6" t="n">
        <x:v>2.58</x:v>
      </x:c>
      <x:c r="G212" s="1" t="str">
        <x:v>None</x:v>
      </x:c>
      <x:c r="H212" s="5" t="n">
        <x:v>46077</x:v>
      </x:c>
      <x:c r="I212" s="5" t="n">
        <x:v>46123</x:v>
      </x:c>
      <x:c r="J212" s="10" t="n">
        <x:f>E212*F212</x:f>
        <x:v>7371.06</x:v>
      </x:c>
    </x:row>
    <x:row r="213">
      <x:c r="A213" s="1" t="str">
        <x:v>INV217</x:v>
      </x:c>
      <x:c r="B213" s="1" t="str">
        <x:v>PO0217</x:v>
      </x:c>
      <x:c r="C213" s="5" t="n">
        <x:v>46176</x:v>
      </x:c>
      <x:c r="D213" s="5" t="n">
        <x:v>46236</x:v>
      </x:c>
      <x:c r="E213" s="1" t="n">
        <x:v>3634</x:v>
      </x:c>
      <x:c r="F213" s="6" t="n">
        <x:v>18.99</x:v>
      </x:c>
      <x:c r="G213" s="1" t="str">
        <x:v>None</x:v>
      </x:c>
      <x:c r="H213" s="5" t="n">
        <x:v>46176</x:v>
      </x:c>
      <x:c r="I213" s="5" t="n">
        <x:v>46244</x:v>
      </x:c>
      <x:c r="J213" s="10" t="n">
        <x:f>E213*F213</x:f>
        <x:v>69009.65999999999</x:v>
      </x:c>
    </x:row>
    <x:row r="214">
      <x:c r="A214" s="1" t="str">
        <x:v>INV218</x:v>
      </x:c>
      <x:c r="B214" s="1" t="str">
        <x:v>PO0218</x:v>
      </x:c>
      <x:c r="C214" s="5" t="n">
        <x:v>46231</x:v>
      </x:c>
      <x:c r="D214" s="5" t="n">
        <x:v>46276</x:v>
      </x:c>
      <x:c r="E214" s="1" t="n">
        <x:v>1511</x:v>
      </x:c>
      <x:c r="F214" s="6" t="n">
        <x:v>16.94</x:v>
      </x:c>
      <x:c r="G214" s="1" t="str">
        <x:v>None</x:v>
      </x:c>
      <x:c r="H214" s="5" t="n">
        <x:v>46231</x:v>
      </x:c>
      <x:c r="I214" s="5" t="n">
        <x:v>46282</x:v>
      </x:c>
      <x:c r="J214" s="10" t="n">
        <x:f>E214*F214</x:f>
        <x:v>25596.34</x:v>
      </x:c>
    </x:row>
    <x:row r="215">
      <x:c r="A215" s="1" t="str">
        <x:v>INV219</x:v>
      </x:c>
      <x:c r="B215" s="1" t="str">
        <x:v>PO0219</x:v>
      </x:c>
      <x:c r="C215" s="5" t="n">
        <x:v>46127</x:v>
      </x:c>
      <x:c r="D215" s="5" t="n">
        <x:v>46172</x:v>
      </x:c>
      <x:c r="E215" s="1" t="n">
        <x:v>4650</x:v>
      </x:c>
      <x:c r="F215" s="6" t="n">
        <x:v>15.08</x:v>
      </x:c>
      <x:c r="G215" s="1" t="str">
        <x:v>None</x:v>
      </x:c>
      <x:c r="H215" s="5" t="n">
        <x:v>46127</x:v>
      </x:c>
      <x:c r="I215" s="5" t="n">
        <x:v>46177</x:v>
      </x:c>
      <x:c r="J215" s="10" t="n">
        <x:f>E215*F215</x:f>
        <x:v>70122</x:v>
      </x:c>
    </x:row>
    <x:row r="216">
      <x:c r="A216" s="1" t="str">
        <x:v>INV220</x:v>
      </x:c>
      <x:c r="B216" s="1" t="str">
        <x:v>PO0220</x:v>
      </x:c>
      <x:c r="C216" s="5" t="n">
        <x:v>46279</x:v>
      </x:c>
      <x:c r="D216" s="5" t="n">
        <x:v>46309</x:v>
      </x:c>
      <x:c r="E216" s="1" t="n">
        <x:v>996</x:v>
      </x:c>
      <x:c r="F216" s="6" t="n">
        <x:v>14.69</x:v>
      </x:c>
      <x:c r="G216" s="1" t="str">
        <x:v>None</x:v>
      </x:c>
      <x:c r="H216" s="5" t="n">
        <x:v>46279</x:v>
      </x:c>
      <x:c r="I216" s="5"/>
      <x:c r="J216" s="10" t="n">
        <x:f>E216*F216</x:f>
        <x:v>14631.24</x:v>
      </x:c>
    </x:row>
    <x:row r="217">
      <x:c r="A217" s="1" t="str">
        <x:v>INV221</x:v>
      </x:c>
      <x:c r="B217" s="1" t="str">
        <x:v>PO0221</x:v>
      </x:c>
      <x:c r="C217" s="5" t="n">
        <x:v>46243</x:v>
      </x:c>
      <x:c r="D217" s="5" t="n">
        <x:v>46273</x:v>
      </x:c>
      <x:c r="E217" s="1" t="n">
        <x:v>962</x:v>
      </x:c>
      <x:c r="F217" s="6" t="n">
        <x:v>1.26</x:v>
      </x:c>
      <x:c r="G217" s="1" t="str">
        <x:v>None</x:v>
      </x:c>
      <x:c r="H217" s="5" t="n">
        <x:v>46243</x:v>
      </x:c>
      <x:c r="I217" s="5" t="n">
        <x:v>46278</x:v>
      </x:c>
      <x:c r="J217" s="10" t="n">
        <x:f>E217*F217</x:f>
        <x:v>1212.1200000000001</x:v>
      </x:c>
    </x:row>
    <x:row r="218">
      <x:c r="A218" s="1" t="str">
        <x:v>INV222</x:v>
      </x:c>
      <x:c r="B218" s="1" t="str">
        <x:v>PO0222</x:v>
      </x:c>
      <x:c r="C218" s="5" t="n">
        <x:v>46249</x:v>
      </x:c>
      <x:c r="D218" s="5" t="n">
        <x:v>46294</x:v>
      </x:c>
      <x:c r="E218" s="1" t="n">
        <x:v>3553</x:v>
      </x:c>
      <x:c r="F218" s="6" t="n">
        <x:v>17.07</x:v>
      </x:c>
      <x:c r="G218" s="1" t="str">
        <x:v>None</x:v>
      </x:c>
      <x:c r="H218" s="5" t="n">
        <x:v>46249</x:v>
      </x:c>
      <x:c r="I218" s="5" t="n">
        <x:v>46292</x:v>
      </x:c>
      <x:c r="J218" s="10" t="n">
        <x:f>E218*F218</x:f>
        <x:v>60649.71</x:v>
      </x:c>
    </x:row>
    <x:row r="219">
      <x:c r="A219" s="1" t="str">
        <x:v>INV223</x:v>
      </x:c>
      <x:c r="B219" s="1" t="str">
        <x:v>PO0223</x:v>
      </x:c>
      <x:c r="C219" s="5" t="n">
        <x:v>46149</x:v>
      </x:c>
      <x:c r="D219" s="5" t="n">
        <x:v>46179</x:v>
      </x:c>
      <x:c r="E219" s="1" t="n">
        <x:v>2953</x:v>
      </x:c>
      <x:c r="F219" s="6" t="n">
        <x:v>22.63</x:v>
      </x:c>
      <x:c r="G219" s="1" t="str">
        <x:v>Quantity mismatch</x:v>
      </x:c>
      <x:c r="H219" s="5" t="n">
        <x:v>46163</x:v>
      </x:c>
      <x:c r="I219" s="5" t="n">
        <x:v>46182</x:v>
      </x:c>
      <x:c r="J219" s="10" t="n">
        <x:f>E219*F219</x:f>
        <x:v>66826.39</x:v>
      </x:c>
    </x:row>
    <x:row r="220">
      <x:c r="A220" s="1" t="str">
        <x:v>INV224</x:v>
      </x:c>
      <x:c r="B220" s="1" t="str">
        <x:v>PO0224</x:v>
      </x:c>
      <x:c r="C220" s="5" t="n">
        <x:v>46143</x:v>
      </x:c>
      <x:c r="D220" s="5" t="n">
        <x:v>46188</x:v>
      </x:c>
      <x:c r="E220" s="1" t="n">
        <x:v>2351</x:v>
      </x:c>
      <x:c r="F220" s="6" t="n">
        <x:v>5.38</x:v>
      </x:c>
      <x:c r="G220" s="1" t="str">
        <x:v>None</x:v>
      </x:c>
      <x:c r="H220" s="5" t="n">
        <x:v>46143</x:v>
      </x:c>
      <x:c r="I220" s="5" t="n">
        <x:v>46185</x:v>
      </x:c>
      <x:c r="J220" s="10" t="n">
        <x:f>E220*F220</x:f>
        <x:v>12648.38</x:v>
      </x:c>
    </x:row>
    <x:row r="221">
      <x:c r="A221" s="1" t="str">
        <x:v>INV225</x:v>
      </x:c>
      <x:c r="B221" s="1" t="str">
        <x:v>PO0225</x:v>
      </x:c>
      <x:c r="C221" s="5" t="n">
        <x:v>46053</x:v>
      </x:c>
      <x:c r="D221" s="5" t="n">
        <x:v>46098</x:v>
      </x:c>
      <x:c r="E221" s="1" t="n">
        <x:v>4573</x:v>
      </x:c>
      <x:c r="F221" s="6" t="n">
        <x:v>17.85</x:v>
      </x:c>
      <x:c r="G221" s="1" t="str">
        <x:v>None</x:v>
      </x:c>
      <x:c r="H221" s="5" t="n">
        <x:v>46053</x:v>
      </x:c>
      <x:c r="I221" s="5" t="n">
        <x:v>46105</x:v>
      </x:c>
      <x:c r="J221" s="10" t="n">
        <x:f>E221*F221</x:f>
        <x:v>81628.05</x:v>
      </x:c>
    </x:row>
    <x:row r="222">
      <x:c r="A222" s="1" t="str">
        <x:v>INV226</x:v>
      </x:c>
      <x:c r="B222" s="1" t="str">
        <x:v>PO0226</x:v>
      </x:c>
      <x:c r="C222" s="5" t="n">
        <x:v>46255</x:v>
      </x:c>
      <x:c r="D222" s="5" t="n">
        <x:v>46285</x:v>
      </x:c>
      <x:c r="E222" s="1" t="n">
        <x:v>2316</x:v>
      </x:c>
      <x:c r="F222" s="6" t="n">
        <x:v>24.6</x:v>
      </x:c>
      <x:c r="G222" s="1" t="str">
        <x:v>None</x:v>
      </x:c>
      <x:c r="H222" s="5" t="n">
        <x:v>46255</x:v>
      </x:c>
      <x:c r="I222" s="5" t="n">
        <x:v>46284</x:v>
      </x:c>
      <x:c r="J222" s="10" t="n">
        <x:f>E222*F222</x:f>
        <x:v>56973.600000000006</x:v>
      </x:c>
    </x:row>
    <x:row r="223">
      <x:c r="A223" s="1" t="str">
        <x:v>INV227</x:v>
      </x:c>
      <x:c r="B223" s="1" t="str">
        <x:v>PO0227</x:v>
      </x:c>
      <x:c r="C223" s="5" t="n">
        <x:v>46188</x:v>
      </x:c>
      <x:c r="D223" s="5" t="n">
        <x:v>46233</x:v>
      </x:c>
      <x:c r="E223" s="1" t="n">
        <x:v>3761</x:v>
      </x:c>
      <x:c r="F223" s="6" t="n">
        <x:v>17.89</x:v>
      </x:c>
      <x:c r="G223" s="1" t="str">
        <x:v>None</x:v>
      </x:c>
      <x:c r="H223" s="5" t="n">
        <x:v>46188</x:v>
      </x:c>
      <x:c r="I223" s="5" t="n">
        <x:v>46230</x:v>
      </x:c>
      <x:c r="J223" s="10" t="n">
        <x:f>E223*F223</x:f>
        <x:v>67284.29000000001</x:v>
      </x:c>
    </x:row>
    <x:row r="224">
      <x:c r="A224" s="1" t="str">
        <x:v>INV228</x:v>
      </x:c>
      <x:c r="B224" s="1" t="str">
        <x:v>PO0228</x:v>
      </x:c>
      <x:c r="C224" s="5" t="n">
        <x:v>46292</x:v>
      </x:c>
      <x:c r="D224" s="5" t="n">
        <x:v>46322</x:v>
      </x:c>
      <x:c r="E224" s="1" t="n">
        <x:v>4240</x:v>
      </x:c>
      <x:c r="F224" s="6" t="n">
        <x:v>8.98</x:v>
      </x:c>
      <x:c r="G224" s="1" t="str">
        <x:v>None</x:v>
      </x:c>
      <x:c r="H224" s="5" t="n">
        <x:v>46292</x:v>
      </x:c>
      <x:c r="I224" s="5"/>
      <x:c r="J224" s="10" t="n">
        <x:f>E224*F224</x:f>
        <x:v>38075.200000000004</x:v>
      </x:c>
    </x:row>
    <x:row r="225">
      <x:c r="A225" s="1" t="str">
        <x:v>INV229</x:v>
      </x:c>
      <x:c r="B225" s="1" t="str">
        <x:v>PO0229</x:v>
      </x:c>
      <x:c r="C225" s="5" t="n">
        <x:v>46194</x:v>
      </x:c>
      <x:c r="D225" s="5" t="n">
        <x:v>46224</x:v>
      </x:c>
      <x:c r="E225" s="1" t="n">
        <x:v>388</x:v>
      </x:c>
      <x:c r="F225" s="6" t="n">
        <x:v>9.34</x:v>
      </x:c>
      <x:c r="G225" s="1" t="str">
        <x:v>None</x:v>
      </x:c>
      <x:c r="H225" s="5" t="n">
        <x:v>46194</x:v>
      </x:c>
      <x:c r="I225" s="5" t="n">
        <x:v>46229</x:v>
      </x:c>
      <x:c r="J225" s="10" t="n">
        <x:f>E225*F225</x:f>
        <x:v>3623.92</x:v>
      </x:c>
    </x:row>
    <x:row r="226">
      <x:c r="A226" s="1" t="str">
        <x:v>INV230</x:v>
      </x:c>
      <x:c r="B226" s="1" t="str">
        <x:v>PO0230</x:v>
      </x:c>
      <x:c r="C226" s="5" t="n">
        <x:v>46201</x:v>
      </x:c>
      <x:c r="D226" s="5" t="n">
        <x:v>46231</x:v>
      </x:c>
      <x:c r="E226" s="1" t="n">
        <x:v>2626</x:v>
      </x:c>
      <x:c r="F226" s="6" t="n">
        <x:v>14.28</x:v>
      </x:c>
      <x:c r="G226" s="1" t="str">
        <x:v>None</x:v>
      </x:c>
      <x:c r="H226" s="5" t="n">
        <x:v>46201</x:v>
      </x:c>
      <x:c r="I226" s="5" t="n">
        <x:v>46235</x:v>
      </x:c>
      <x:c r="J226" s="10" t="n">
        <x:f>E226*F226</x:f>
        <x:v>37499.28</x:v>
      </x:c>
    </x:row>
    <x:row r="227">
      <x:c r="A227" s="1" t="str">
        <x:v>INV232</x:v>
      </x:c>
      <x:c r="B227" s="1" t="str">
        <x:v>PO0232</x:v>
      </x:c>
      <x:c r="C227" s="5" t="n">
        <x:v>46196</x:v>
      </x:c>
      <x:c r="D227" s="5" t="n">
        <x:v>46256</x:v>
      </x:c>
      <x:c r="E227" s="1" t="n">
        <x:v>766</x:v>
      </x:c>
      <x:c r="F227" s="6" t="n">
        <x:v>7.18</x:v>
      </x:c>
      <x:c r="G227" s="1" t="str">
        <x:v>None</x:v>
      </x:c>
      <x:c r="H227" s="5" t="n">
        <x:v>46196</x:v>
      </x:c>
      <x:c r="I227" s="5" t="n">
        <x:v>46254</x:v>
      </x:c>
      <x:c r="J227" s="10" t="n">
        <x:f>E227*F227</x:f>
        <x:v>5499.88</x:v>
      </x:c>
    </x:row>
    <x:row r="228">
      <x:c r="A228" s="1" t="str">
        <x:v>INV233</x:v>
      </x:c>
      <x:c r="B228" s="1" t="str">
        <x:v>PO0233</x:v>
      </x:c>
      <x:c r="C228" s="5" t="n">
        <x:v>46051</x:v>
      </x:c>
      <x:c r="D228" s="5" t="n">
        <x:v>46081</x:v>
      </x:c>
      <x:c r="E228" s="1" t="n">
        <x:v>880</x:v>
      </x:c>
      <x:c r="F228" s="6" t="n">
        <x:v>12.92</x:v>
      </x:c>
      <x:c r="G228" s="1" t="str">
        <x:v>None</x:v>
      </x:c>
      <x:c r="H228" s="5" t="n">
        <x:v>46051</x:v>
      </x:c>
      <x:c r="I228" s="5" t="n">
        <x:v>46089</x:v>
      </x:c>
      <x:c r="J228" s="10" t="n">
        <x:f>E228*F228</x:f>
        <x:v>11369.6</x:v>
      </x:c>
    </x:row>
    <x:row r="229">
      <x:c r="A229" s="1" t="str">
        <x:v>INV234</x:v>
      </x:c>
      <x:c r="B229" s="1" t="str">
        <x:v>PO0234</x:v>
      </x:c>
      <x:c r="C229" s="5" t="n">
        <x:v>46199</x:v>
      </x:c>
      <x:c r="D229" s="5" t="n">
        <x:v>46244</x:v>
      </x:c>
      <x:c r="E229" s="1" t="n">
        <x:v>1547</x:v>
      </x:c>
      <x:c r="F229" s="6" t="n">
        <x:v>14</x:v>
      </x:c>
      <x:c r="G229" s="1" t="str">
        <x:v>None</x:v>
      </x:c>
      <x:c r="H229" s="5" t="n">
        <x:v>46199</x:v>
      </x:c>
      <x:c r="I229" s="5" t="n">
        <x:v>46244</x:v>
      </x:c>
      <x:c r="J229" s="10" t="n">
        <x:f>E229*F229</x:f>
        <x:v>21658</x:v>
      </x:c>
    </x:row>
    <x:row r="230">
      <x:c r="A230" s="1" t="str">
        <x:v>INV235</x:v>
      </x:c>
      <x:c r="B230" s="1" t="str">
        <x:v>PO0235</x:v>
      </x:c>
      <x:c r="C230" s="5" t="n">
        <x:v>46084</x:v>
      </x:c>
      <x:c r="D230" s="5" t="n">
        <x:v>46129</x:v>
      </x:c>
      <x:c r="E230" s="1" t="n">
        <x:v>2393</x:v>
      </x:c>
      <x:c r="F230" s="6" t="n">
        <x:v>9.88</x:v>
      </x:c>
      <x:c r="G230" s="1" t="str">
        <x:v>None</x:v>
      </x:c>
      <x:c r="H230" s="5" t="n">
        <x:v>46084</x:v>
      </x:c>
      <x:c r="I230" s="5" t="n">
        <x:v>46129</x:v>
      </x:c>
      <x:c r="J230" s="10" t="n">
        <x:f>E230*F230</x:f>
        <x:v>23642.84</x:v>
      </x:c>
    </x:row>
    <x:row r="231">
      <x:c r="A231" s="1" t="str">
        <x:v>INV236</x:v>
      </x:c>
      <x:c r="B231" s="1" t="str">
        <x:v>PO0236</x:v>
      </x:c>
      <x:c r="C231" s="5" t="n">
        <x:v>46060</x:v>
      </x:c>
      <x:c r="D231" s="5" t="n">
        <x:v>46105</x:v>
      </x:c>
      <x:c r="E231" s="1" t="n">
        <x:v>720</x:v>
      </x:c>
      <x:c r="F231" s="6" t="n">
        <x:v>9.7</x:v>
      </x:c>
      <x:c r="G231" s="1" t="str">
        <x:v>None</x:v>
      </x:c>
      <x:c r="H231" s="5" t="n">
        <x:v>46060</x:v>
      </x:c>
      <x:c r="I231" s="5" t="n">
        <x:v>46102</x:v>
      </x:c>
      <x:c r="J231" s="10" t="n">
        <x:f>E231*F231</x:f>
        <x:v>6983.999999999999</x:v>
      </x:c>
    </x:row>
    <x:row r="232">
      <x:c r="A232" s="1" t="str">
        <x:v>INV237</x:v>
      </x:c>
      <x:c r="B232" s="1" t="str">
        <x:v>PO0237</x:v>
      </x:c>
      <x:c r="C232" s="5" t="n">
        <x:v>46243</x:v>
      </x:c>
      <x:c r="D232" s="5" t="n">
        <x:v>46288</x:v>
      </x:c>
      <x:c r="E232" s="1" t="n">
        <x:v>4085</x:v>
      </x:c>
      <x:c r="F232" s="6" t="n">
        <x:v>23.62</x:v>
      </x:c>
      <x:c r="G232" s="1" t="str">
        <x:v>None</x:v>
      </x:c>
      <x:c r="H232" s="5" t="n">
        <x:v>46243</x:v>
      </x:c>
      <x:c r="I232" s="5" t="n">
        <x:v>46290</x:v>
      </x:c>
      <x:c r="J232" s="10" t="n">
        <x:f>E232*F232</x:f>
        <x:v>96487.7</x:v>
      </x:c>
    </x:row>
    <x:row r="233">
      <x:c r="A233" s="1" t="str">
        <x:v>INV238</x:v>
      </x:c>
      <x:c r="B233" s="1" t="str">
        <x:v>PO0238</x:v>
      </x:c>
      <x:c r="C233" s="5" t="n">
        <x:v>46293</x:v>
      </x:c>
      <x:c r="D233" s="5" t="n">
        <x:v>46353</x:v>
      </x:c>
      <x:c r="E233" s="1" t="n">
        <x:v>2854</x:v>
      </x:c>
      <x:c r="F233" s="6" t="n">
        <x:v>23.29</x:v>
      </x:c>
      <x:c r="G233" s="1" t="str">
        <x:v>None</x:v>
      </x:c>
      <x:c r="H233" s="5" t="n">
        <x:v>46293</x:v>
      </x:c>
      <x:c r="I233" s="5"/>
      <x:c r="J233" s="10" t="n">
        <x:f>E233*F233</x:f>
        <x:v>66469.66</x:v>
      </x:c>
    </x:row>
    <x:row r="234">
      <x:c r="A234" s="1" t="str">
        <x:v>INV239</x:v>
      </x:c>
      <x:c r="B234" s="1" t="str">
        <x:v>PO0239</x:v>
      </x:c>
      <x:c r="C234" s="5" t="n">
        <x:v>46215</x:v>
      </x:c>
      <x:c r="D234" s="5" t="n">
        <x:v>46260</x:v>
      </x:c>
      <x:c r="E234" s="1" t="n">
        <x:v>1860</x:v>
      </x:c>
      <x:c r="F234" s="6" t="n">
        <x:v>21.24</x:v>
      </x:c>
      <x:c r="G234" s="1" t="str">
        <x:v>None</x:v>
      </x:c>
      <x:c r="H234" s="5" t="n">
        <x:v>46215</x:v>
      </x:c>
      <x:c r="I234" s="5" t="n">
        <x:v>46257</x:v>
      </x:c>
      <x:c r="J234" s="10" t="n">
        <x:f>E234*F234</x:f>
        <x:v>39506.399999999994</x:v>
      </x:c>
    </x:row>
    <x:row r="235">
      <x:c r="A235" s="1" t="str">
        <x:v>INV240</x:v>
      </x:c>
      <x:c r="B235" s="1" t="str">
        <x:v>PO0240</x:v>
      </x:c>
      <x:c r="C235" s="5" t="n">
        <x:v>46085</x:v>
      </x:c>
      <x:c r="D235" s="5" t="n">
        <x:v>46130</x:v>
      </x:c>
      <x:c r="E235" s="1" t="n">
        <x:v>243</x:v>
      </x:c>
      <x:c r="F235" s="6" t="n">
        <x:v>16.61</x:v>
      </x:c>
      <x:c r="G235" s="1" t="str">
        <x:v>Missing documentation</x:v>
      </x:c>
      <x:c r="H235" s="5" t="n">
        <x:v>46108</x:v>
      </x:c>
      <x:c r="I235" s="5" t="n">
        <x:v>46135</x:v>
      </x:c>
      <x:c r="J235" s="10" t="n">
        <x:f>E235*F235</x:f>
        <x:v>4036.23</x:v>
      </x:c>
    </x:row>
    <x:row r="236">
      <x:c r="A236" s="1" t="str">
        <x:v>INV241</x:v>
      </x:c>
      <x:c r="B236" s="1" t="str">
        <x:v>PO0241</x:v>
      </x:c>
      <x:c r="C236" s="5" t="n">
        <x:v>46244</x:v>
      </x:c>
      <x:c r="D236" s="5" t="n">
        <x:v>46289</x:v>
      </x:c>
      <x:c r="E236" s="1" t="n">
        <x:v>4799</x:v>
      </x:c>
      <x:c r="F236" s="6" t="n">
        <x:v>16.31</x:v>
      </x:c>
      <x:c r="G236" s="1" t="str">
        <x:v>None</x:v>
      </x:c>
      <x:c r="H236" s="5" t="n">
        <x:v>46244</x:v>
      </x:c>
      <x:c r="I236" s="5"/>
      <x:c r="J236" s="10" t="n">
        <x:f>E236*F236</x:f>
        <x:v>78271.68999999999</x:v>
      </x:c>
    </x:row>
    <x:row r="237">
      <x:c r="A237" s="1" t="str">
        <x:v>INV242</x:v>
      </x:c>
      <x:c r="B237" s="1" t="str">
        <x:v>PO0242</x:v>
      </x:c>
      <x:c r="C237" s="5" t="n">
        <x:v>46215</x:v>
      </x:c>
      <x:c r="D237" s="5" t="n">
        <x:v>46260</x:v>
      </x:c>
      <x:c r="E237" s="1" t="n">
        <x:v>4158</x:v>
      </x:c>
      <x:c r="F237" s="6" t="n">
        <x:v>8.95</x:v>
      </x:c>
      <x:c r="G237" s="1" t="str">
        <x:v>Price mismatch</x:v>
      </x:c>
      <x:c r="H237" s="5" t="n">
        <x:v>46223</x:v>
      </x:c>
      <x:c r="I237" s="5" t="n">
        <x:v>46257</x:v>
      </x:c>
      <x:c r="J237" s="10" t="n">
        <x:f>E237*F237</x:f>
        <x:v>37214.1</x:v>
      </x:c>
    </x:row>
    <x:row r="238">
      <x:c r="A238" s="1" t="str">
        <x:v>INV243</x:v>
      </x:c>
      <x:c r="B238" s="1" t="str">
        <x:v>PO0243</x:v>
      </x:c>
      <x:c r="C238" s="5" t="n">
        <x:v>46086</x:v>
      </x:c>
      <x:c r="D238" s="5" t="n">
        <x:v>46131</x:v>
      </x:c>
      <x:c r="E238" s="1" t="n">
        <x:v>3805</x:v>
      </x:c>
      <x:c r="F238" s="6" t="n">
        <x:v>20.66</x:v>
      </x:c>
      <x:c r="G238" s="1" t="str">
        <x:v>Price mismatch</x:v>
      </x:c>
      <x:c r="H238" s="5" t="n">
        <x:v>46104</x:v>
      </x:c>
      <x:c r="I238" s="5" t="n">
        <x:v>46133</x:v>
      </x:c>
      <x:c r="J238" s="10" t="n">
        <x:f>E238*F238</x:f>
        <x:v>78611.3</x:v>
      </x:c>
    </x:row>
    <x:row r="239">
      <x:c r="A239" s="1" t="str">
        <x:v>INV244</x:v>
      </x:c>
      <x:c r="B239" s="1" t="str">
        <x:v>PO0244</x:v>
      </x:c>
      <x:c r="C239" s="5" t="n">
        <x:v>46265</x:v>
      </x:c>
      <x:c r="D239" s="5" t="n">
        <x:v>46325</x:v>
      </x:c>
      <x:c r="E239" s="1" t="n">
        <x:v>1814</x:v>
      </x:c>
      <x:c r="F239" s="6" t="n">
        <x:v>8</x:v>
      </x:c>
      <x:c r="G239" s="1" t="str">
        <x:v>None</x:v>
      </x:c>
      <x:c r="H239" s="5" t="n">
        <x:v>46265</x:v>
      </x:c>
      <x:c r="I239" s="5"/>
      <x:c r="J239" s="10" t="n">
        <x:f>E239*F239</x:f>
        <x:v>14512</x:v>
      </x:c>
    </x:row>
    <x:row r="240">
      <x:c r="A240" s="1" t="str">
        <x:v>INV245</x:v>
      </x:c>
      <x:c r="B240" s="1" t="str">
        <x:v>PO0245</x:v>
      </x:c>
      <x:c r="C240" s="5" t="n">
        <x:v>46077</x:v>
      </x:c>
      <x:c r="D240" s="5" t="n">
        <x:v>46122</x:v>
      </x:c>
      <x:c r="E240" s="1" t="n">
        <x:v>3838</x:v>
      </x:c>
      <x:c r="F240" s="6" t="n">
        <x:v>14.81</x:v>
      </x:c>
      <x:c r="G240" s="1" t="str">
        <x:v>None</x:v>
      </x:c>
      <x:c r="H240" s="5" t="n">
        <x:v>46077</x:v>
      </x:c>
      <x:c r="I240" s="5" t="n">
        <x:v>46121</x:v>
      </x:c>
      <x:c r="J240" s="10" t="n">
        <x:f>E240*F240</x:f>
        <x:v>56840.78</x:v>
      </x:c>
    </x:row>
    <x:row r="241">
      <x:c r="A241" s="1" t="str">
        <x:v>INV246</x:v>
      </x:c>
      <x:c r="B241" s="1" t="str">
        <x:v>PO0246</x:v>
      </x:c>
      <x:c r="C241" s="5" t="n">
        <x:v>46180</x:v>
      </x:c>
      <x:c r="D241" s="5" t="n">
        <x:v>46240</x:v>
      </x:c>
      <x:c r="E241" s="1" t="n">
        <x:v>4975</x:v>
      </x:c>
      <x:c r="F241" s="6" t="n">
        <x:v>18.98</x:v>
      </x:c>
      <x:c r="G241" s="1" t="str">
        <x:v>None</x:v>
      </x:c>
      <x:c r="H241" s="5" t="n">
        <x:v>46180</x:v>
      </x:c>
      <x:c r="I241" s="5" t="n">
        <x:v>46248</x:v>
      </x:c>
      <x:c r="J241" s="10" t="n">
        <x:f>E241*F241</x:f>
        <x:v>94425.5</x:v>
      </x:c>
    </x:row>
    <x:row r="242">
      <x:c r="A242" s="1" t="str">
        <x:v>INV247</x:v>
      </x:c>
      <x:c r="B242" s="1" t="str">
        <x:v>PO0247</x:v>
      </x:c>
      <x:c r="C242" s="5" t="n">
        <x:v>46080</x:v>
      </x:c>
      <x:c r="D242" s="5" t="n">
        <x:v>46110</x:v>
      </x:c>
      <x:c r="E242" s="1" t="n">
        <x:v>3624</x:v>
      </x:c>
      <x:c r="F242" s="6" t="n">
        <x:v>4.32</x:v>
      </x:c>
      <x:c r="G242" s="1" t="str">
        <x:v>None</x:v>
      </x:c>
      <x:c r="H242" s="5" t="n">
        <x:v>46080</x:v>
      </x:c>
      <x:c r="I242" s="5" t="n">
        <x:v>46109</x:v>
      </x:c>
      <x:c r="J242" s="10" t="n">
        <x:f>E242*F242</x:f>
        <x:v>15655.68</x:v>
      </x:c>
    </x:row>
    <x:row r="243">
      <x:c r="A243" s="1" t="str">
        <x:v>INV248</x:v>
      </x:c>
      <x:c r="B243" s="1" t="str">
        <x:v>PO0248</x:v>
      </x:c>
      <x:c r="C243" s="5" t="n">
        <x:v>46111</x:v>
      </x:c>
      <x:c r="D243" s="5" t="n">
        <x:v>46156</x:v>
      </x:c>
      <x:c r="E243" s="1" t="n">
        <x:v>3781</x:v>
      </x:c>
      <x:c r="F243" s="6" t="n">
        <x:v>2.36</x:v>
      </x:c>
      <x:c r="G243" s="1" t="str">
        <x:v>Quantity mismatch</x:v>
      </x:c>
      <x:c r="H243" s="5" t="n">
        <x:v>46118</x:v>
      </x:c>
      <x:c r="I243" s="5" t="n">
        <x:v>46153</x:v>
      </x:c>
      <x:c r="J243" s="10" t="n">
        <x:f>E243*F243</x:f>
        <x:v>8923.16</x:v>
      </x:c>
    </x:row>
    <x:row r="244">
      <x:c r="A244" s="1" t="str">
        <x:v>INV249</x:v>
      </x:c>
      <x:c r="B244" s="1" t="str">
        <x:v>PO0249</x:v>
      </x:c>
      <x:c r="C244" s="5" t="n">
        <x:v>46077</x:v>
      </x:c>
      <x:c r="D244" s="5" t="n">
        <x:v>46107</x:v>
      </x:c>
      <x:c r="E244" s="1" t="n">
        <x:v>3065</x:v>
      </x:c>
      <x:c r="F244" s="6" t="n">
        <x:v>12.72</x:v>
      </x:c>
      <x:c r="G244" s="1" t="str">
        <x:v>None</x:v>
      </x:c>
      <x:c r="H244" s="5" t="n">
        <x:v>46077</x:v>
      </x:c>
      <x:c r="I244" s="5" t="n">
        <x:v>46110</x:v>
      </x:c>
      <x:c r="J244" s="10" t="n">
        <x:f>E244*F244</x:f>
        <x:v>38986.8</x:v>
      </x:c>
    </x:row>
    <x:row r="245">
      <x:c r="A245" s="1" t="str">
        <x:v>INV250</x:v>
      </x:c>
      <x:c r="B245" s="1" t="str">
        <x:v>PO0250</x:v>
      </x:c>
      <x:c r="C245" s="5" t="n">
        <x:v>46260</x:v>
      </x:c>
      <x:c r="D245" s="5" t="n">
        <x:v>46290</x:v>
      </x:c>
      <x:c r="E245" s="1" t="n">
        <x:v>915</x:v>
      </x:c>
      <x:c r="F245" s="6" t="n">
        <x:v>8.8</x:v>
      </x:c>
      <x:c r="G245" s="1" t="str">
        <x:v>Price mismatch</x:v>
      </x:c>
      <x:c r="H245" s="5" t="n">
        <x:v>46264</x:v>
      </x:c>
      <x:c r="I245" s="5" t="n">
        <x:v>46288</x:v>
      </x:c>
      <x:c r="J245" s="10" t="n">
        <x:f>E245*F245</x:f>
        <x:v>8052.000000000001</x:v>
      </x:c>
    </x:row>
    <x:row r="246">
      <x:c r="A246" s="1" t="str">
        <x:v>INV251</x:v>
      </x:c>
      <x:c r="B246" s="1" t="str">
        <x:v>PO0251</x:v>
      </x:c>
      <x:c r="C246" s="5" t="n">
        <x:v>46108</x:v>
      </x:c>
      <x:c r="D246" s="5" t="n">
        <x:v>46153</x:v>
      </x:c>
      <x:c r="E246" s="1" t="n">
        <x:v>4469</x:v>
      </x:c>
      <x:c r="F246" s="6" t="n">
        <x:v>16.62</x:v>
      </x:c>
      <x:c r="G246" s="1" t="str">
        <x:v>None</x:v>
      </x:c>
      <x:c r="H246" s="5" t="n">
        <x:v>46108</x:v>
      </x:c>
      <x:c r="I246" s="5" t="n">
        <x:v>46155</x:v>
      </x:c>
      <x:c r="J246" s="10" t="n">
        <x:f>E246*F246</x:f>
        <x:v>74274.78</x:v>
      </x:c>
    </x:row>
    <x:row r="247">
      <x:c r="A247" s="1" t="str">
        <x:v>INV252</x:v>
      </x:c>
      <x:c r="B247" s="1" t="str">
        <x:v>PO0252</x:v>
      </x:c>
      <x:c r="C247" s="5" t="n">
        <x:v>46091</x:v>
      </x:c>
      <x:c r="D247" s="5" t="n">
        <x:v>46136</x:v>
      </x:c>
      <x:c r="E247" s="1" t="n">
        <x:v>1650</x:v>
      </x:c>
      <x:c r="F247" s="6" t="n">
        <x:v>19.84</x:v>
      </x:c>
      <x:c r="G247" s="1" t="str">
        <x:v>None</x:v>
      </x:c>
      <x:c r="H247" s="5" t="n">
        <x:v>46091</x:v>
      </x:c>
      <x:c r="I247" s="5" t="n">
        <x:v>46140</x:v>
      </x:c>
      <x:c r="J247" s="10" t="n">
        <x:f>E247*F247</x:f>
        <x:v>32736</x:v>
      </x:c>
    </x:row>
    <x:row r="248">
      <x:c r="A248" s="1" t="str">
        <x:v>INV253</x:v>
      </x:c>
      <x:c r="B248" s="1" t="str">
        <x:v>PO0253</x:v>
      </x:c>
      <x:c r="C248" s="5" t="n">
        <x:v>46055</x:v>
      </x:c>
      <x:c r="D248" s="5" t="n">
        <x:v>46085</x:v>
      </x:c>
      <x:c r="E248" s="1" t="n">
        <x:v>3595</x:v>
      </x:c>
      <x:c r="F248" s="6" t="n">
        <x:v>20.08</x:v>
      </x:c>
      <x:c r="G248" s="1" t="str">
        <x:v>None</x:v>
      </x:c>
      <x:c r="H248" s="5" t="n">
        <x:v>46055</x:v>
      </x:c>
      <x:c r="I248" s="5" t="n">
        <x:v>46087</x:v>
      </x:c>
      <x:c r="J248" s="10" t="n">
        <x:f>E248*F248</x:f>
        <x:v>72187.59999999999</x:v>
      </x:c>
    </x:row>
    <x:row r="249">
      <x:c r="A249" s="1" t="str">
        <x:v>INV254</x:v>
      </x:c>
      <x:c r="B249" s="1" t="str">
        <x:v>PO0254</x:v>
      </x:c>
      <x:c r="C249" s="5" t="n">
        <x:v>46215</x:v>
      </x:c>
      <x:c r="D249" s="5" t="n">
        <x:v>46275</x:v>
      </x:c>
      <x:c r="E249" s="1" t="n">
        <x:v>3766</x:v>
      </x:c>
      <x:c r="F249" s="6" t="n">
        <x:v>24.59</x:v>
      </x:c>
      <x:c r="G249" s="1" t="str">
        <x:v>None</x:v>
      </x:c>
      <x:c r="H249" s="5" t="n">
        <x:v>46215</x:v>
      </x:c>
      <x:c r="I249" s="5" t="n">
        <x:v>46283</x:v>
      </x:c>
      <x:c r="J249" s="10" t="n">
        <x:f>E249*F249</x:f>
        <x:v>92605.94</x:v>
      </x:c>
    </x:row>
    <x:row r="250">
      <x:c r="A250" s="1" t="str">
        <x:v>INV255</x:v>
      </x:c>
      <x:c r="B250" s="1" t="str">
        <x:v>PO0255</x:v>
      </x:c>
      <x:c r="C250" s="5" t="n">
        <x:v>46154</x:v>
      </x:c>
      <x:c r="D250" s="5" t="n">
        <x:v>46199</x:v>
      </x:c>
      <x:c r="E250" s="1" t="n">
        <x:v>1983</x:v>
      </x:c>
      <x:c r="F250" s="6" t="n">
        <x:v>18.34</x:v>
      </x:c>
      <x:c r="G250" s="1" t="str">
        <x:v>Quantity mismatch</x:v>
      </x:c>
      <x:c r="H250" s="5" t="n">
        <x:v>46178</x:v>
      </x:c>
      <x:c r="I250" s="5" t="n">
        <x:v>46206</x:v>
      </x:c>
      <x:c r="J250" s="10" t="n">
        <x:f>E250*F250</x:f>
        <x:v>36368.22</x:v>
      </x:c>
    </x:row>
    <x:row r="251">
      <x:c r="A251" s="1" t="str">
        <x:v>INV256</x:v>
      </x:c>
      <x:c r="B251" s="1" t="str">
        <x:v>PO0256</x:v>
      </x:c>
      <x:c r="C251" s="5" t="n">
        <x:v>46262</x:v>
      </x:c>
      <x:c r="D251" s="5" t="n">
        <x:v>46292</x:v>
      </x:c>
      <x:c r="E251" s="1" t="n">
        <x:v>4599</x:v>
      </x:c>
      <x:c r="F251" s="6" t="n">
        <x:v>6.71</x:v>
      </x:c>
      <x:c r="G251" s="1" t="str">
        <x:v>None</x:v>
      </x:c>
      <x:c r="H251" s="5" t="n">
        <x:v>46262</x:v>
      </x:c>
      <x:c r="I251" s="5"/>
      <x:c r="J251" s="10" t="n">
        <x:f>E251*F251</x:f>
        <x:v>30859.29</x:v>
      </x:c>
    </x:row>
    <x:row r="252">
      <x:c r="A252" s="1" t="str">
        <x:v>INV257</x:v>
      </x:c>
      <x:c r="B252" s="1" t="str">
        <x:v>PO0257</x:v>
      </x:c>
      <x:c r="C252" s="5" t="n">
        <x:v>46236</x:v>
      </x:c>
      <x:c r="D252" s="5" t="n">
        <x:v>46296</x:v>
      </x:c>
      <x:c r="E252" s="1" t="n">
        <x:v>3441</x:v>
      </x:c>
      <x:c r="F252" s="6" t="n">
        <x:v>18.34</x:v>
      </x:c>
      <x:c r="G252" s="1" t="str">
        <x:v>Missing documentation</x:v>
      </x:c>
      <x:c r="H252" s="5" t="n">
        <x:v>46250</x:v>
      </x:c>
      <x:c r="I252" s="5"/>
      <x:c r="J252" s="10" t="n">
        <x:f>E252*F252</x:f>
        <x:v>63107.94</x:v>
      </x:c>
    </x:row>
    <x:row r="253">
      <x:c r="A253" s="1" t="str">
        <x:v>INV258</x:v>
      </x:c>
      <x:c r="B253" s="1" t="str">
        <x:v>PO0258</x:v>
      </x:c>
      <x:c r="C253" s="5" t="n">
        <x:v>46200</x:v>
      </x:c>
      <x:c r="D253" s="5" t="n">
        <x:v>46245</x:v>
      </x:c>
      <x:c r="E253" s="1" t="n">
        <x:v>3251</x:v>
      </x:c>
      <x:c r="F253" s="6" t="n">
        <x:v>19.6</x:v>
      </x:c>
      <x:c r="G253" s="1" t="str">
        <x:v>None</x:v>
      </x:c>
      <x:c r="H253" s="5" t="n">
        <x:v>46200</x:v>
      </x:c>
      <x:c r="I253" s="5" t="n">
        <x:v>46251</x:v>
      </x:c>
      <x:c r="J253" s="10" t="n">
        <x:f>E253*F253</x:f>
        <x:v>63719.600000000006</x:v>
      </x:c>
    </x:row>
    <x:row r="254">
      <x:c r="A254" s="1" t="str">
        <x:v>INV259</x:v>
      </x:c>
      <x:c r="B254" s="1" t="str">
        <x:v>PO0259</x:v>
      </x:c>
      <x:c r="C254" s="5" t="n">
        <x:v>46182</x:v>
      </x:c>
      <x:c r="D254" s="5" t="n">
        <x:v>46242</x:v>
      </x:c>
      <x:c r="E254" s="1" t="n">
        <x:v>4470</x:v>
      </x:c>
      <x:c r="F254" s="6" t="n">
        <x:v>3.67</x:v>
      </x:c>
      <x:c r="G254" s="1" t="str">
        <x:v>Quantity mismatch</x:v>
      </x:c>
      <x:c r="H254" s="5" t="n">
        <x:v>46206</x:v>
      </x:c>
      <x:c r="I254" s="5" t="n">
        <x:v>46243</x:v>
      </x:c>
      <x:c r="J254" s="10" t="n">
        <x:f>E254*F254</x:f>
        <x:v>16404.9</x:v>
      </x:c>
    </x:row>
    <x:row r="255">
      <x:c r="A255" s="1" t="str">
        <x:v>INV260</x:v>
      </x:c>
      <x:c r="B255" s="1" t="str">
        <x:v>PO0260</x:v>
      </x:c>
      <x:c r="C255" s="5" t="n">
        <x:v>46234</x:v>
      </x:c>
      <x:c r="D255" s="5" t="n">
        <x:v>46264</x:v>
      </x:c>
      <x:c r="E255" s="1" t="n">
        <x:v>364</x:v>
      </x:c>
      <x:c r="F255" s="6" t="n">
        <x:v>19.74</x:v>
      </x:c>
      <x:c r="G255" s="1" t="str">
        <x:v>None</x:v>
      </x:c>
      <x:c r="H255" s="5" t="n">
        <x:v>46234</x:v>
      </x:c>
      <x:c r="I255" s="5" t="n">
        <x:v>46264</x:v>
      </x:c>
      <x:c r="J255" s="10" t="n">
        <x:f>E255*F255</x:f>
        <x:v>7185.36</x:v>
      </x:c>
    </x:row>
    <x:row r="256">
      <x:c r="A256" s="1" t="str">
        <x:v>INV261</x:v>
      </x:c>
      <x:c r="B256" s="1" t="str">
        <x:v>PO0261</x:v>
      </x:c>
      <x:c r="C256" s="5" t="n">
        <x:v>46278</x:v>
      </x:c>
      <x:c r="D256" s="5" t="n">
        <x:v>46323</x:v>
      </x:c>
      <x:c r="E256" s="1" t="n">
        <x:v>460</x:v>
      </x:c>
      <x:c r="F256" s="6" t="n">
        <x:v>16.89</x:v>
      </x:c>
      <x:c r="G256" s="1" t="str">
        <x:v>None</x:v>
      </x:c>
      <x:c r="H256" s="5" t="n">
        <x:v>46278</x:v>
      </x:c>
      <x:c r="I256" s="5"/>
      <x:c r="J256" s="10" t="n">
        <x:f>E256*F256</x:f>
        <x:v>7769.400000000001</x:v>
      </x:c>
    </x:row>
    <x:row r="257">
      <x:c r="A257" s="1" t="str">
        <x:v>INV262</x:v>
      </x:c>
      <x:c r="B257" s="1" t="str">
        <x:v>PO0262</x:v>
      </x:c>
      <x:c r="C257" s="5" t="n">
        <x:v>46139</x:v>
      </x:c>
      <x:c r="D257" s="5" t="n">
        <x:v>46169</x:v>
      </x:c>
      <x:c r="E257" s="1" t="n">
        <x:v>2993</x:v>
      </x:c>
      <x:c r="F257" s="6" t="n">
        <x:v>23.9</x:v>
      </x:c>
      <x:c r="G257" s="1" t="str">
        <x:v>Missing documentation</x:v>
      </x:c>
      <x:c r="H257" s="5" t="n">
        <x:v>46152</x:v>
      </x:c>
      <x:c r="I257" s="5" t="n">
        <x:v>46167</x:v>
      </x:c>
      <x:c r="J257" s="10" t="n">
        <x:f>E257*F257</x:f>
        <x:v>71532.7</x:v>
      </x:c>
    </x:row>
    <x:row r="258">
      <x:c r="A258" s="1" t="str">
        <x:v>INV263</x:v>
      </x:c>
      <x:c r="B258" s="1" t="str">
        <x:v>PO0263</x:v>
      </x:c>
      <x:c r="C258" s="5" t="n">
        <x:v>46108</x:v>
      </x:c>
      <x:c r="D258" s="5" t="n">
        <x:v>46153</x:v>
      </x:c>
      <x:c r="E258" s="1" t="n">
        <x:v>4362</x:v>
      </x:c>
      <x:c r="F258" s="6" t="n">
        <x:v>19.59</x:v>
      </x:c>
      <x:c r="G258" s="1" t="str">
        <x:v>None</x:v>
      </x:c>
      <x:c r="H258" s="5" t="n">
        <x:v>46108</x:v>
      </x:c>
      <x:c r="I258" s="5" t="n">
        <x:v>46158</x:v>
      </x:c>
      <x:c r="J258" s="10" t="n">
        <x:f>E258*F258</x:f>
        <x:v>85451.58</x:v>
      </x:c>
    </x:row>
    <x:row r="259">
      <x:c r="A259" s="1" t="str">
        <x:v>INV264</x:v>
      </x:c>
      <x:c r="B259" s="1" t="str">
        <x:v>PO0264</x:v>
      </x:c>
      <x:c r="C259" s="5" t="n">
        <x:v>46143</x:v>
      </x:c>
      <x:c r="D259" s="5" t="n">
        <x:v>46203</x:v>
      </x:c>
      <x:c r="E259" s="1" t="n">
        <x:v>3736</x:v>
      </x:c>
      <x:c r="F259" s="6" t="n">
        <x:v>15.87</x:v>
      </x:c>
      <x:c r="G259" s="1" t="str">
        <x:v>None</x:v>
      </x:c>
      <x:c r="H259" s="5" t="n">
        <x:v>46143</x:v>
      </x:c>
      <x:c r="I259" s="5" t="n">
        <x:v>46201</x:v>
      </x:c>
      <x:c r="J259" s="10" t="n">
        <x:f>E259*F259</x:f>
        <x:v>59290.32</x:v>
      </x:c>
    </x:row>
    <x:row r="260">
      <x:c r="A260" s="1" t="str">
        <x:v>INV265</x:v>
      </x:c>
      <x:c r="B260" s="1" t="str">
        <x:v>PO0265</x:v>
      </x:c>
      <x:c r="C260" s="5" t="n">
        <x:v>46250</x:v>
      </x:c>
      <x:c r="D260" s="5" t="n">
        <x:v>46310</x:v>
      </x:c>
      <x:c r="E260" s="1" t="n">
        <x:v>1935</x:v>
      </x:c>
      <x:c r="F260" s="6" t="n">
        <x:v>3.97</x:v>
      </x:c>
      <x:c r="G260" s="1" t="str">
        <x:v>None</x:v>
      </x:c>
      <x:c r="H260" s="5" t="n">
        <x:v>46250</x:v>
      </x:c>
      <x:c r="I260" s="5"/>
      <x:c r="J260" s="10" t="n">
        <x:f>E260*F260</x:f>
        <x:v>7681.950000000001</x:v>
      </x:c>
    </x:row>
    <x:row r="261">
      <x:c r="A261" s="1" t="str">
        <x:v>INV266</x:v>
      </x:c>
      <x:c r="B261" s="1" t="str">
        <x:v>PO0266</x:v>
      </x:c>
      <x:c r="C261" s="5" t="n">
        <x:v>46228</x:v>
      </x:c>
      <x:c r="D261" s="5" t="n">
        <x:v>46288</x:v>
      </x:c>
      <x:c r="E261" s="1" t="n">
        <x:v>872</x:v>
      </x:c>
      <x:c r="F261" s="6" t="n">
        <x:v>12.81</x:v>
      </x:c>
      <x:c r="G261" s="1" t="str">
        <x:v>None</x:v>
      </x:c>
      <x:c r="H261" s="5" t="n">
        <x:v>46228</x:v>
      </x:c>
      <x:c r="I261" s="5" t="n">
        <x:v>46288</x:v>
      </x:c>
      <x:c r="J261" s="10" t="n">
        <x:f>E261*F261</x:f>
        <x:v>11170.32</x:v>
      </x:c>
    </x:row>
    <x:row r="262">
      <x:c r="A262" s="1" t="str">
        <x:v>INV267</x:v>
      </x:c>
      <x:c r="B262" s="1" t="str">
        <x:v>PO0267</x:v>
      </x:c>
      <x:c r="C262" s="5" t="n">
        <x:v>46232</x:v>
      </x:c>
      <x:c r="D262" s="5" t="n">
        <x:v>46277</x:v>
      </x:c>
      <x:c r="E262" s="1" t="n">
        <x:v>4709</x:v>
      </x:c>
      <x:c r="F262" s="6" t="n">
        <x:v>16.63</x:v>
      </x:c>
      <x:c r="G262" s="1" t="str">
        <x:v>None</x:v>
      </x:c>
      <x:c r="H262" s="5" t="n">
        <x:v>46232</x:v>
      </x:c>
      <x:c r="I262" s="5" t="n">
        <x:v>46275</x:v>
      </x:c>
      <x:c r="J262" s="10" t="n">
        <x:f>E262*F262</x:f>
        <x:v>78310.67</x:v>
      </x:c>
    </x:row>
    <x:row r="263">
      <x:c r="A263" s="1" t="str">
        <x:v>INV268</x:v>
      </x:c>
      <x:c r="B263" s="1" t="str">
        <x:v>PO0268</x:v>
      </x:c>
      <x:c r="C263" s="5" t="n">
        <x:v>46089</x:v>
      </x:c>
      <x:c r="D263" s="5" t="n">
        <x:v>46149</x:v>
      </x:c>
      <x:c r="E263" s="1" t="n">
        <x:v>4381</x:v>
      </x:c>
      <x:c r="F263" s="6" t="n">
        <x:v>18.59</x:v>
      </x:c>
      <x:c r="G263" s="1" t="str">
        <x:v>None</x:v>
      </x:c>
      <x:c r="H263" s="5" t="n">
        <x:v>46089</x:v>
      </x:c>
      <x:c r="I263" s="5" t="n">
        <x:v>46146</x:v>
      </x:c>
      <x:c r="J263" s="10" t="n">
        <x:f>E263*F263</x:f>
        <x:v>81442.79</x:v>
      </x:c>
    </x:row>
    <x:row r="264">
      <x:c r="A264" s="1" t="str">
        <x:v>INV269</x:v>
      </x:c>
      <x:c r="B264" s="1" t="str">
        <x:v>PO0269</x:v>
      </x:c>
      <x:c r="C264" s="5" t="n">
        <x:v>46136</x:v>
      </x:c>
      <x:c r="D264" s="5" t="n">
        <x:v>46181</x:v>
      </x:c>
      <x:c r="E264" s="1" t="n">
        <x:v>1680</x:v>
      </x:c>
      <x:c r="F264" s="6" t="n">
        <x:v>24.63</x:v>
      </x:c>
      <x:c r="G264" s="1" t="str">
        <x:v>None</x:v>
      </x:c>
      <x:c r="H264" s="5" t="n">
        <x:v>46136</x:v>
      </x:c>
      <x:c r="I264" s="5" t="n">
        <x:v>46184</x:v>
      </x:c>
      <x:c r="J264" s="10" t="n">
        <x:f>E264*F264</x:f>
        <x:v>41378.4</x:v>
      </x:c>
    </x:row>
    <x:row r="265">
      <x:c r="A265" s="1" t="str">
        <x:v>INV271</x:v>
      </x:c>
      <x:c r="B265" s="1" t="str">
        <x:v>PO0271</x:v>
      </x:c>
      <x:c r="C265" s="5" t="n">
        <x:v>46281</x:v>
      </x:c>
      <x:c r="D265" s="5" t="n">
        <x:v>46326</x:v>
      </x:c>
      <x:c r="E265" s="1" t="n">
        <x:v>3583</x:v>
      </x:c>
      <x:c r="F265" s="6" t="n">
        <x:v>12.61</x:v>
      </x:c>
      <x:c r="G265" s="1" t="str">
        <x:v>Quantity mismatch</x:v>
      </x:c>
      <x:c r="H265" s="5"/>
      <x:c r="I265" s="5"/>
      <x:c r="J265" s="10" t="n">
        <x:f>E265*F265</x:f>
        <x:v>45181.63</x:v>
      </x:c>
    </x:row>
    <x:row r="266">
      <x:c r="A266" s="1" t="str">
        <x:v>INV272</x:v>
      </x:c>
      <x:c r="B266" s="1" t="str">
        <x:v>PO0272</x:v>
      </x:c>
      <x:c r="C266" s="5" t="n">
        <x:v>46172</x:v>
      </x:c>
      <x:c r="D266" s="5" t="n">
        <x:v>46202</x:v>
      </x:c>
      <x:c r="E266" s="1" t="n">
        <x:v>4804</x:v>
      </x:c>
      <x:c r="F266" s="6" t="n">
        <x:v>3.72</x:v>
      </x:c>
      <x:c r="G266" s="1" t="str">
        <x:v>Quantity mismatch</x:v>
      </x:c>
      <x:c r="H266" s="5" t="n">
        <x:v>46191</x:v>
      </x:c>
      <x:c r="I266" s="5" t="n">
        <x:v>46203</x:v>
      </x:c>
      <x:c r="J266" s="10" t="n">
        <x:f>E266*F266</x:f>
        <x:v>17870.88</x:v>
      </x:c>
    </x:row>
    <x:row r="267">
      <x:c r="A267" s="1" t="str">
        <x:v>INV273</x:v>
      </x:c>
      <x:c r="B267" s="1" t="str">
        <x:v>PO0273</x:v>
      </x:c>
      <x:c r="C267" s="5" t="n">
        <x:v>46219</x:v>
      </x:c>
      <x:c r="D267" s="5" t="n">
        <x:v>46279</x:v>
      </x:c>
      <x:c r="E267" s="1" t="n">
        <x:v>864</x:v>
      </x:c>
      <x:c r="F267" s="6" t="n">
        <x:v>21.75</x:v>
      </x:c>
      <x:c r="G267" s="1" t="str">
        <x:v>None</x:v>
      </x:c>
      <x:c r="H267" s="5" t="n">
        <x:v>46219</x:v>
      </x:c>
      <x:c r="I267" s="5" t="n">
        <x:v>46285</x:v>
      </x:c>
      <x:c r="J267" s="10" t="n">
        <x:f>E267*F267</x:f>
        <x:v>18792</x:v>
      </x:c>
    </x:row>
    <x:row r="268">
      <x:c r="A268" s="1" t="str">
        <x:v>INV274</x:v>
      </x:c>
      <x:c r="B268" s="1" t="str">
        <x:v>PO0274</x:v>
      </x:c>
      <x:c r="C268" s="5" t="n">
        <x:v>46245</x:v>
      </x:c>
      <x:c r="D268" s="5" t="n">
        <x:v>46290</x:v>
      </x:c>
      <x:c r="E268" s="1" t="n">
        <x:v>2499</x:v>
      </x:c>
      <x:c r="F268" s="6" t="n">
        <x:v>16.85</x:v>
      </x:c>
      <x:c r="G268" s="1" t="str">
        <x:v>Quantity mismatch</x:v>
      </x:c>
      <x:c r="H268" s="5" t="n">
        <x:v>46253</x:v>
      </x:c>
      <x:c r="I268" s="5"/>
      <x:c r="J268" s="10" t="n">
        <x:f>E268*F268</x:f>
        <x:v>42108.15</x:v>
      </x:c>
    </x:row>
    <x:row r="269">
      <x:c r="A269" s="1" t="str">
        <x:v>INV275</x:v>
      </x:c>
      <x:c r="B269" s="1" t="str">
        <x:v>PO0275</x:v>
      </x:c>
      <x:c r="C269" s="5" t="n">
        <x:v>46106</x:v>
      </x:c>
      <x:c r="D269" s="5" t="n">
        <x:v>46151</x:v>
      </x:c>
      <x:c r="E269" s="1" t="n">
        <x:v>3642</x:v>
      </x:c>
      <x:c r="F269" s="6" t="n">
        <x:v>19.95</x:v>
      </x:c>
      <x:c r="G269" s="1" t="str">
        <x:v>Quantity mismatch</x:v>
      </x:c>
      <x:c r="H269" s="5" t="n">
        <x:v>46111</x:v>
      </x:c>
      <x:c r="I269" s="5" t="n">
        <x:v>46153</x:v>
      </x:c>
      <x:c r="J269" s="10" t="n">
        <x:f>E269*F269</x:f>
        <x:v>72657.9</x:v>
      </x:c>
    </x:row>
    <x:row r="270">
      <x:c r="A270" s="1" t="str">
        <x:v>INV276</x:v>
      </x:c>
      <x:c r="B270" s="1" t="str">
        <x:v>PO0276</x:v>
      </x:c>
      <x:c r="C270" s="5" t="n">
        <x:v>46043</x:v>
      </x:c>
      <x:c r="D270" s="5" t="n">
        <x:v>46073</x:v>
      </x:c>
      <x:c r="E270" s="1" t="n">
        <x:v>4204</x:v>
      </x:c>
      <x:c r="F270" s="6" t="n">
        <x:v>17.09</x:v>
      </x:c>
      <x:c r="G270" s="1" t="str">
        <x:v>None</x:v>
      </x:c>
      <x:c r="H270" s="5" t="n">
        <x:v>46043</x:v>
      </x:c>
      <x:c r="I270" s="5" t="n">
        <x:v>46076</x:v>
      </x:c>
      <x:c r="J270" s="10" t="n">
        <x:f>E270*F270</x:f>
        <x:v>71846.36</x:v>
      </x:c>
    </x:row>
    <x:row r="271">
      <x:c r="A271" s="1" t="str">
        <x:v>INV277</x:v>
      </x:c>
      <x:c r="B271" s="1" t="str">
        <x:v>PO0277</x:v>
      </x:c>
      <x:c r="C271" s="5" t="n">
        <x:v>46051</x:v>
      </x:c>
      <x:c r="D271" s="5" t="n">
        <x:v>46081</x:v>
      </x:c>
      <x:c r="E271" s="1" t="n">
        <x:v>4246</x:v>
      </x:c>
      <x:c r="F271" s="6" t="n">
        <x:v>5.26</x:v>
      </x:c>
      <x:c r="G271" s="1" t="str">
        <x:v>None</x:v>
      </x:c>
      <x:c r="H271" s="5" t="n">
        <x:v>46051</x:v>
      </x:c>
      <x:c r="I271" s="5" t="n">
        <x:v>46085</x:v>
      </x:c>
      <x:c r="J271" s="10" t="n">
        <x:f>E271*F271</x:f>
        <x:v>22333.96</x:v>
      </x:c>
    </x:row>
    <x:row r="272">
      <x:c r="A272" s="1" t="str">
        <x:v>INV278</x:v>
      </x:c>
      <x:c r="B272" s="1" t="str">
        <x:v>PO0278</x:v>
      </x:c>
      <x:c r="C272" s="5" t="n">
        <x:v>46080</x:v>
      </x:c>
      <x:c r="D272" s="5" t="n">
        <x:v>46110</x:v>
      </x:c>
      <x:c r="E272" s="1" t="n">
        <x:v>1793</x:v>
      </x:c>
      <x:c r="F272" s="6" t="n">
        <x:v>8.9</x:v>
      </x:c>
      <x:c r="G272" s="1" t="str">
        <x:v>None</x:v>
      </x:c>
      <x:c r="H272" s="5" t="n">
        <x:v>46080</x:v>
      </x:c>
      <x:c r="I272" s="5" t="n">
        <x:v>46117</x:v>
      </x:c>
      <x:c r="J272" s="10" t="n">
        <x:f>E272*F272</x:f>
        <x:v>15957.7</x:v>
      </x:c>
    </x:row>
    <x:row r="273">
      <x:c r="A273" s="1" t="str">
        <x:v>INV279</x:v>
      </x:c>
      <x:c r="B273" s="1" t="str">
        <x:v>PO0279</x:v>
      </x:c>
      <x:c r="C273" s="5" t="n">
        <x:v>46142</x:v>
      </x:c>
      <x:c r="D273" s="5" t="n">
        <x:v>46172</x:v>
      </x:c>
      <x:c r="E273" s="1" t="n">
        <x:v>4221</x:v>
      </x:c>
      <x:c r="F273" s="6" t="n">
        <x:v>1.74</x:v>
      </x:c>
      <x:c r="G273" s="1" t="str">
        <x:v>None</x:v>
      </x:c>
      <x:c r="H273" s="5" t="n">
        <x:v>46142</x:v>
      </x:c>
      <x:c r="I273" s="5" t="n">
        <x:v>46172</x:v>
      </x:c>
      <x:c r="J273" s="10" t="n">
        <x:f>E273*F273</x:f>
        <x:v>7344.54</x:v>
      </x:c>
    </x:row>
    <x:row r="274">
      <x:c r="A274" s="1" t="str">
        <x:v>INV280</x:v>
      </x:c>
      <x:c r="B274" s="1" t="str">
        <x:v>PO0280</x:v>
      </x:c>
      <x:c r="C274" s="5" t="n">
        <x:v>46120</x:v>
      </x:c>
      <x:c r="D274" s="5" t="n">
        <x:v>46150</x:v>
      </x:c>
      <x:c r="E274" s="1" t="n">
        <x:v>1949</x:v>
      </x:c>
      <x:c r="F274" s="6" t="n">
        <x:v>17.99</x:v>
      </x:c>
      <x:c r="G274" s="1" t="str">
        <x:v>None</x:v>
      </x:c>
      <x:c r="H274" s="5" t="n">
        <x:v>46120</x:v>
      </x:c>
      <x:c r="I274" s="5" t="n">
        <x:v>46156</x:v>
      </x:c>
      <x:c r="J274" s="10" t="n">
        <x:f>E274*F274</x:f>
        <x:v>35062.509999999995</x:v>
      </x:c>
    </x:row>
    <x:row r="275">
      <x:c r="A275" s="1" t="str">
        <x:v>INV281</x:v>
      </x:c>
      <x:c r="B275" s="1" t="str">
        <x:v>PO0281</x:v>
      </x:c>
      <x:c r="C275" s="5" t="n">
        <x:v>46191</x:v>
      </x:c>
      <x:c r="D275" s="5" t="n">
        <x:v>46251</x:v>
      </x:c>
      <x:c r="E275" s="1" t="n">
        <x:v>1013</x:v>
      </x:c>
      <x:c r="F275" s="6" t="n">
        <x:v>6.95</x:v>
      </x:c>
      <x:c r="G275" s="1" t="str">
        <x:v>None</x:v>
      </x:c>
      <x:c r="H275" s="5" t="n">
        <x:v>46191</x:v>
      </x:c>
      <x:c r="I275" s="5" t="n">
        <x:v>46253</x:v>
      </x:c>
      <x:c r="J275" s="10" t="n">
        <x:f>E275*F275</x:f>
        <x:v>7040.35</x:v>
      </x:c>
    </x:row>
    <x:row r="276">
      <x:c r="A276" s="1" t="str">
        <x:v>INV282</x:v>
      </x:c>
      <x:c r="B276" s="1" t="str">
        <x:v>PO0282</x:v>
      </x:c>
      <x:c r="C276" s="5" t="n">
        <x:v>46125</x:v>
      </x:c>
      <x:c r="D276" s="5" t="n">
        <x:v>46170</x:v>
      </x:c>
      <x:c r="E276" s="1" t="n">
        <x:v>244</x:v>
      </x:c>
      <x:c r="F276" s="6" t="n">
        <x:v>12.98</x:v>
      </x:c>
      <x:c r="G276" s="1" t="str">
        <x:v>Missing documentation</x:v>
      </x:c>
      <x:c r="H276" s="5" t="n">
        <x:v>46128</x:v>
      </x:c>
      <x:c r="I276" s="5" t="n">
        <x:v>46169</x:v>
      </x:c>
      <x:c r="J276" s="10" t="n">
        <x:f>E276*F276</x:f>
        <x:v>3167.12</x:v>
      </x:c>
    </x:row>
    <x:row r="277">
      <x:c r="A277" s="1" t="str">
        <x:v>INV283</x:v>
      </x:c>
      <x:c r="B277" s="1" t="str">
        <x:v>PO0283</x:v>
      </x:c>
      <x:c r="C277" s="5" t="n">
        <x:v>46072</x:v>
      </x:c>
      <x:c r="D277" s="5" t="n">
        <x:v>46117</x:v>
      </x:c>
      <x:c r="E277" s="1" t="n">
        <x:v>1878</x:v>
      </x:c>
      <x:c r="F277" s="6" t="n">
        <x:v>6.88</x:v>
      </x:c>
      <x:c r="G277" s="1" t="str">
        <x:v>None</x:v>
      </x:c>
      <x:c r="H277" s="5" t="n">
        <x:v>46072</x:v>
      </x:c>
      <x:c r="I277" s="5" t="n">
        <x:v>46119</x:v>
      </x:c>
      <x:c r="J277" s="10" t="n">
        <x:f>E277*F277</x:f>
        <x:v>12920.64</x:v>
      </x:c>
    </x:row>
    <x:row r="278">
      <x:c r="A278" s="1" t="str">
        <x:v>INV284</x:v>
      </x:c>
      <x:c r="B278" s="1" t="str">
        <x:v>PO0284</x:v>
      </x:c>
      <x:c r="C278" s="5" t="n">
        <x:v>46051</x:v>
      </x:c>
      <x:c r="D278" s="5" t="n">
        <x:v>46081</x:v>
      </x:c>
      <x:c r="E278" s="1" t="n">
        <x:v>114</x:v>
      </x:c>
      <x:c r="F278" s="6" t="n">
        <x:v>24.67</x:v>
      </x:c>
      <x:c r="G278" s="1" t="str">
        <x:v>Price mismatch</x:v>
      </x:c>
      <x:c r="H278" s="5" t="n">
        <x:v>46065</x:v>
      </x:c>
      <x:c r="I278" s="5" t="n">
        <x:v>46084</x:v>
      </x:c>
      <x:c r="J278" s="10" t="n">
        <x:f>E278*F278</x:f>
        <x:v>2812.38</x:v>
      </x:c>
    </x:row>
    <x:row r="279">
      <x:c r="A279" s="1" t="str">
        <x:v>INV286</x:v>
      </x:c>
      <x:c r="B279" s="1" t="str">
        <x:v>PO0286</x:v>
      </x:c>
      <x:c r="C279" s="5" t="n">
        <x:v>46229</x:v>
      </x:c>
      <x:c r="D279" s="5" t="n">
        <x:v>46289</x:v>
      </x:c>
      <x:c r="E279" s="1" t="n">
        <x:v>3452</x:v>
      </x:c>
      <x:c r="F279" s="6" t="n">
        <x:v>2.32</x:v>
      </x:c>
      <x:c r="G279" s="1" t="str">
        <x:v>None</x:v>
      </x:c>
      <x:c r="H279" s="5" t="n">
        <x:v>46229</x:v>
      </x:c>
      <x:c r="I279" s="5"/>
      <x:c r="J279" s="10" t="n">
        <x:f>E279*F279</x:f>
        <x:v>8008.639999999999</x:v>
      </x:c>
    </x:row>
    <x:row r="280">
      <x:c r="A280" s="1" t="str">
        <x:v>INV288</x:v>
      </x:c>
      <x:c r="B280" s="1" t="str">
        <x:v>PO0288</x:v>
      </x:c>
      <x:c r="C280" s="5" t="n">
        <x:v>46116</x:v>
      </x:c>
      <x:c r="D280" s="5" t="n">
        <x:v>46176</x:v>
      </x:c>
      <x:c r="E280" s="1" t="n">
        <x:v>2038</x:v>
      </x:c>
      <x:c r="F280" s="6" t="n">
        <x:v>9.66</x:v>
      </x:c>
      <x:c r="G280" s="1" t="str">
        <x:v>None</x:v>
      </x:c>
      <x:c r="H280" s="5" t="n">
        <x:v>46116</x:v>
      </x:c>
      <x:c r="I280" s="5" t="n">
        <x:v>46175</x:v>
      </x:c>
      <x:c r="J280" s="10" t="n">
        <x:f>E280*F280</x:f>
        <x:v>19687.08</x:v>
      </x:c>
    </x:row>
    <x:row r="281">
      <x:c r="A281" s="1" t="str">
        <x:v>INV289</x:v>
      </x:c>
      <x:c r="B281" s="1" t="str">
        <x:v>PO0289</x:v>
      </x:c>
      <x:c r="C281" s="5" t="n">
        <x:v>46174</x:v>
      </x:c>
      <x:c r="D281" s="5" t="n">
        <x:v>46204</x:v>
      </x:c>
      <x:c r="E281" s="1" t="n">
        <x:v>131</x:v>
      </x:c>
      <x:c r="F281" s="6" t="n">
        <x:v>11.07</x:v>
      </x:c>
      <x:c r="G281" s="1" t="str">
        <x:v>None</x:v>
      </x:c>
      <x:c r="H281" s="5" t="n">
        <x:v>46174</x:v>
      </x:c>
      <x:c r="I281" s="5" t="n">
        <x:v>46210</x:v>
      </x:c>
      <x:c r="J281" s="10" t="n">
        <x:f>E281*F281</x:f>
        <x:v>1450.17</x:v>
      </x:c>
    </x:row>
    <x:row r="282">
      <x:c r="A282" s="1" t="str">
        <x:v>INV290</x:v>
      </x:c>
      <x:c r="B282" s="1" t="str">
        <x:v>PO0290</x:v>
      </x:c>
      <x:c r="C282" s="5" t="n">
        <x:v>46250</x:v>
      </x:c>
      <x:c r="D282" s="5" t="n">
        <x:v>46280</x:v>
      </x:c>
      <x:c r="E282" s="1" t="n">
        <x:v>3207</x:v>
      </x:c>
      <x:c r="F282" s="6" t="n">
        <x:v>20.27</x:v>
      </x:c>
      <x:c r="G282" s="1" t="str">
        <x:v>None</x:v>
      </x:c>
      <x:c r="H282" s="5" t="n">
        <x:v>46250</x:v>
      </x:c>
      <x:c r="I282" s="5" t="n">
        <x:v>46286</x:v>
      </x:c>
      <x:c r="J282" s="10" t="n">
        <x:f>E282*F282</x:f>
        <x:v>65005.89</x:v>
      </x:c>
    </x:row>
    <x:row r="283">
      <x:c r="A283" s="1" t="str">
        <x:v>INV291</x:v>
      </x:c>
      <x:c r="B283" s="1" t="str">
        <x:v>PO0291</x:v>
      </x:c>
      <x:c r="C283" s="5" t="n">
        <x:v>46201</x:v>
      </x:c>
      <x:c r="D283" s="5" t="n">
        <x:v>46261</x:v>
      </x:c>
      <x:c r="E283" s="1" t="n">
        <x:v>2305</x:v>
      </x:c>
      <x:c r="F283" s="6" t="n">
        <x:v>21.14</x:v>
      </x:c>
      <x:c r="G283" s="1" t="str">
        <x:v>None</x:v>
      </x:c>
      <x:c r="H283" s="5" t="n">
        <x:v>46201</x:v>
      </x:c>
      <x:c r="I283" s="5" t="n">
        <x:v>46261</x:v>
      </x:c>
      <x:c r="J283" s="10" t="n">
        <x:f>E283*F283</x:f>
        <x:v>48727.700000000004</x:v>
      </x:c>
    </x:row>
    <x:row r="284">
      <x:c r="A284" s="1" t="str">
        <x:v>INV292</x:v>
      </x:c>
      <x:c r="B284" s="1" t="str">
        <x:v>PO0292</x:v>
      </x:c>
      <x:c r="C284" s="5" t="n">
        <x:v>46199</x:v>
      </x:c>
      <x:c r="D284" s="5" t="n">
        <x:v>46259</x:v>
      </x:c>
      <x:c r="E284" s="1" t="n">
        <x:v>3303</x:v>
      </x:c>
      <x:c r="F284" s="6" t="n">
        <x:v>5.73</x:v>
      </x:c>
      <x:c r="G284" s="1" t="str">
        <x:v>Price mismatch</x:v>
      </x:c>
      <x:c r="H284" s="5" t="n">
        <x:v>46219</x:v>
      </x:c>
      <x:c r="I284" s="5" t="n">
        <x:v>46259</x:v>
      </x:c>
      <x:c r="J284" s="10" t="n">
        <x:f>E284*F284</x:f>
        <x:v>18926.190000000002</x:v>
      </x:c>
    </x:row>
    <x:row r="285">
      <x:c r="A285" s="1" t="str">
        <x:v>INV293</x:v>
      </x:c>
      <x:c r="B285" s="1" t="str">
        <x:v>PO0293</x:v>
      </x:c>
      <x:c r="C285" s="5" t="n">
        <x:v>46295</x:v>
      </x:c>
      <x:c r="D285" s="5" t="n">
        <x:v>46355</x:v>
      </x:c>
      <x:c r="E285" s="1" t="n">
        <x:v>4893</x:v>
      </x:c>
      <x:c r="F285" s="6" t="n">
        <x:v>18.54</x:v>
      </x:c>
      <x:c r="G285" s="1" t="str">
        <x:v>Quantity mismatch</x:v>
      </x:c>
      <x:c r="H285" s="5"/>
      <x:c r="I285" s="5"/>
      <x:c r="J285" s="10" t="n">
        <x:f>E285*F285</x:f>
        <x:v>90716.22</x:v>
      </x:c>
    </x:row>
    <x:row r="286">
      <x:c r="A286" s="1" t="str">
        <x:v>INV294</x:v>
      </x:c>
      <x:c r="B286" s="1" t="str">
        <x:v>PO0294</x:v>
      </x:c>
      <x:c r="C286" s="5" t="n">
        <x:v>46275</x:v>
      </x:c>
      <x:c r="D286" s="5" t="n">
        <x:v>46320</x:v>
      </x:c>
      <x:c r="E286" s="1" t="n">
        <x:v>4796</x:v>
      </x:c>
      <x:c r="F286" s="6" t="n">
        <x:v>4.83</x:v>
      </x:c>
      <x:c r="G286" s="1" t="str">
        <x:v>None</x:v>
      </x:c>
      <x:c r="H286" s="5" t="n">
        <x:v>46275</x:v>
      </x:c>
      <x:c r="I286" s="5"/>
      <x:c r="J286" s="10" t="n">
        <x:f>E286*F286</x:f>
        <x:v>23164.68</x:v>
      </x:c>
    </x:row>
    <x:row r="287">
      <x:c r="A287" s="1" t="str">
        <x:v>INV295</x:v>
      </x:c>
      <x:c r="B287" s="1" t="str">
        <x:v>PO0295</x:v>
      </x:c>
      <x:c r="C287" s="5" t="n">
        <x:v>46222</x:v>
      </x:c>
      <x:c r="D287" s="5" t="n">
        <x:v>46252</x:v>
      </x:c>
      <x:c r="E287" s="1" t="n">
        <x:v>1005</x:v>
      </x:c>
      <x:c r="F287" s="6" t="n">
        <x:v>21.99</x:v>
      </x:c>
      <x:c r="G287" s="1" t="str">
        <x:v>Price mismatch</x:v>
      </x:c>
      <x:c r="H287" s="5" t="n">
        <x:v>46243</x:v>
      </x:c>
      <x:c r="I287" s="5" t="n">
        <x:v>46252</x:v>
      </x:c>
      <x:c r="J287" s="10" t="n">
        <x:f>E287*F287</x:f>
        <x:v>22099.949999999997</x:v>
      </x:c>
    </x:row>
    <x:row r="288">
      <x:c r="A288" s="1" t="str">
        <x:v>INV296</x:v>
      </x:c>
      <x:c r="B288" s="1" t="str">
        <x:v>PO0296</x:v>
      </x:c>
      <x:c r="C288" s="5" t="n">
        <x:v>46096</x:v>
      </x:c>
      <x:c r="D288" s="5" t="n">
        <x:v>46126</x:v>
      </x:c>
      <x:c r="E288" s="1" t="n">
        <x:v>4494</x:v>
      </x:c>
      <x:c r="F288" s="6" t="n">
        <x:v>10.54</x:v>
      </x:c>
      <x:c r="G288" s="1" t="str">
        <x:v>None</x:v>
      </x:c>
      <x:c r="H288" s="5" t="n">
        <x:v>46096</x:v>
      </x:c>
      <x:c r="I288" s="5" t="n">
        <x:v>46134</x:v>
      </x:c>
      <x:c r="J288" s="10" t="n">
        <x:f>E288*F288</x:f>
        <x:v>47366.759999999995</x:v>
      </x:c>
    </x:row>
    <x:row r="289">
      <x:c r="A289" s="1" t="str">
        <x:v>INV297</x:v>
      </x:c>
      <x:c r="B289" s="1" t="str">
        <x:v>PO0297</x:v>
      </x:c>
      <x:c r="C289" s="5" t="n">
        <x:v>46215</x:v>
      </x:c>
      <x:c r="D289" s="5" t="n">
        <x:v>46245</x:v>
      </x:c>
      <x:c r="E289" s="1" t="n">
        <x:v>2538</x:v>
      </x:c>
      <x:c r="F289" s="6" t="n">
        <x:v>12.12</x:v>
      </x:c>
      <x:c r="G289" s="1" t="str">
        <x:v>None</x:v>
      </x:c>
      <x:c r="H289" s="5" t="n">
        <x:v>46215</x:v>
      </x:c>
      <x:c r="I289" s="5" t="n">
        <x:v>46247</x:v>
      </x:c>
      <x:c r="J289" s="10" t="n">
        <x:f>E289*F289</x:f>
        <x:v>30760.559999999998</x:v>
      </x:c>
    </x:row>
    <x:row r="290">
      <x:c r="A290" s="1" t="str">
        <x:v>INV298</x:v>
      </x:c>
      <x:c r="B290" s="1" t="str">
        <x:v>PO0298</x:v>
      </x:c>
      <x:c r="C290" s="5" t="n">
        <x:v>46114</x:v>
      </x:c>
      <x:c r="D290" s="5" t="n">
        <x:v>46159</x:v>
      </x:c>
      <x:c r="E290" s="1" t="n">
        <x:v>4708</x:v>
      </x:c>
      <x:c r="F290" s="6" t="n">
        <x:v>21.14</x:v>
      </x:c>
      <x:c r="G290" s="1" t="str">
        <x:v>None</x:v>
      </x:c>
      <x:c r="H290" s="5" t="n">
        <x:v>46114</x:v>
      </x:c>
      <x:c r="I290" s="5" t="n">
        <x:v>46157</x:v>
      </x:c>
      <x:c r="J290" s="10" t="n">
        <x:f>E290*F290</x:f>
        <x:v>99527.12000000001</x:v>
      </x:c>
    </x:row>
    <x:row r="291">
      <x:c r="A291" s="1" t="str">
        <x:v>INV299</x:v>
      </x:c>
      <x:c r="B291" s="1" t="str">
        <x:v>PO0299</x:v>
      </x:c>
      <x:c r="C291" s="5" t="n">
        <x:v>46278</x:v>
      </x:c>
      <x:c r="D291" s="5" t="n">
        <x:v>46308</x:v>
      </x:c>
      <x:c r="E291" s="1" t="n">
        <x:v>3975</x:v>
      </x:c>
      <x:c r="F291" s="6" t="n">
        <x:v>21.83</x:v>
      </x:c>
      <x:c r="G291" s="1" t="str">
        <x:v>None</x:v>
      </x:c>
      <x:c r="H291" s="5" t="n">
        <x:v>46278</x:v>
      </x:c>
      <x:c r="I291" s="5"/>
      <x:c r="J291" s="10" t="n">
        <x:f>E291*F291</x:f>
        <x:v>86774.25</x:v>
      </x:c>
    </x:row>
    <x:row r="292">
      <x:c r="A292" s="1" t="str">
        <x:v>INV300</x:v>
      </x:c>
      <x:c r="B292" s="1" t="str">
        <x:v>PO0300</x:v>
      </x:c>
      <x:c r="C292" s="5" t="n">
        <x:v>46286</x:v>
      </x:c>
      <x:c r="D292" s="5" t="n">
        <x:v>46346</x:v>
      </x:c>
      <x:c r="E292" s="1" t="n">
        <x:v>1805</x:v>
      </x:c>
      <x:c r="F292" s="6" t="n">
        <x:v>22.56</x:v>
      </x:c>
      <x:c r="G292" s="1" t="str">
        <x:v>None</x:v>
      </x:c>
      <x:c r="H292" s="5" t="n">
        <x:v>46286</x:v>
      </x:c>
      <x:c r="I292" s="5"/>
      <x:c r="J292" s="10" t="n">
        <x:f>E292*F292</x:f>
        <x:v>40720.799999999996</x:v>
      </x:c>
    </x:row>
    <x:row r="293">
      <x:c r="A293" s="1" t="str">
        <x:v>INV301</x:v>
      </x:c>
      <x:c r="B293" s="1" t="str">
        <x:v>PO0301</x:v>
      </x:c>
      <x:c r="C293" s="5" t="n">
        <x:v>46064</x:v>
      </x:c>
      <x:c r="D293" s="5" t="n">
        <x:v>46124</x:v>
      </x:c>
      <x:c r="E293" s="1" t="n">
        <x:v>4166</x:v>
      </x:c>
      <x:c r="F293" s="6" t="n">
        <x:v>18.38</x:v>
      </x:c>
      <x:c r="G293" s="1" t="str">
        <x:v>Missing documentation</x:v>
      </x:c>
      <x:c r="H293" s="5" t="n">
        <x:v>46081</x:v>
      </x:c>
      <x:c r="I293" s="5" t="n">
        <x:v>46129</x:v>
      </x:c>
      <x:c r="J293" s="10" t="n">
        <x:f>E293*F293</x:f>
        <x:v>76571.08</x:v>
      </x:c>
    </x:row>
    <x:row r="294">
      <x:c r="A294" s="1" t="str">
        <x:v>INV302</x:v>
      </x:c>
      <x:c r="B294" s="1" t="str">
        <x:v>PO0302</x:v>
      </x:c>
      <x:c r="C294" s="5" t="n">
        <x:v>46121</x:v>
      </x:c>
      <x:c r="D294" s="5" t="n">
        <x:v>46151</x:v>
      </x:c>
      <x:c r="E294" s="1" t="n">
        <x:v>437</x:v>
      </x:c>
      <x:c r="F294" s="6" t="n">
        <x:v>25</x:v>
      </x:c>
      <x:c r="G294" s="1" t="str">
        <x:v>None</x:v>
      </x:c>
      <x:c r="H294" s="5" t="n">
        <x:v>46121</x:v>
      </x:c>
      <x:c r="I294" s="5" t="n">
        <x:v>46158</x:v>
      </x:c>
      <x:c r="J294" s="10" t="n">
        <x:f>E294*F294</x:f>
        <x:v>10925</x:v>
      </x:c>
    </x:row>
    <x:row r="295">
      <x:c r="A295" s="1" t="str">
        <x:v>INV303</x:v>
      </x:c>
      <x:c r="B295" s="1" t="str">
        <x:v>PO0303</x:v>
      </x:c>
      <x:c r="C295" s="5" t="n">
        <x:v>46253</x:v>
      </x:c>
      <x:c r="D295" s="5" t="n">
        <x:v>46313</x:v>
      </x:c>
      <x:c r="E295" s="1" t="n">
        <x:v>4015</x:v>
      </x:c>
      <x:c r="F295" s="6" t="n">
        <x:v>3.9</x:v>
      </x:c>
      <x:c r="G295" s="1" t="str">
        <x:v>None</x:v>
      </x:c>
      <x:c r="H295" s="5" t="n">
        <x:v>46253</x:v>
      </x:c>
      <x:c r="I295" s="5"/>
      <x:c r="J295" s="10" t="n">
        <x:f>E295*F295</x:f>
        <x:v>15658.5</x:v>
      </x:c>
    </x:row>
    <x:row r="296">
      <x:c r="A296" s="1" t="str">
        <x:v>INV304</x:v>
      </x:c>
      <x:c r="B296" s="1" t="str">
        <x:v>PO0304</x:v>
      </x:c>
      <x:c r="C296" s="5" t="n">
        <x:v>46072</x:v>
      </x:c>
      <x:c r="D296" s="5" t="n">
        <x:v>46132</x:v>
      </x:c>
      <x:c r="E296" s="1" t="n">
        <x:v>1114</x:v>
      </x:c>
      <x:c r="F296" s="6" t="n">
        <x:v>13.15</x:v>
      </x:c>
      <x:c r="G296" s="1" t="str">
        <x:v>None</x:v>
      </x:c>
      <x:c r="H296" s="5" t="n">
        <x:v>46072</x:v>
      </x:c>
      <x:c r="I296" s="5" t="n">
        <x:v>46136</x:v>
      </x:c>
      <x:c r="J296" s="10" t="n">
        <x:f>E296*F296</x:f>
        <x:v>14649.1</x:v>
      </x:c>
    </x:row>
    <x:row r="297">
      <x:c r="A297" s="1" t="str">
        <x:v>INV305</x:v>
      </x:c>
      <x:c r="B297" s="1" t="str">
        <x:v>PO0305</x:v>
      </x:c>
      <x:c r="C297" s="5" t="n">
        <x:v>46188</x:v>
      </x:c>
      <x:c r="D297" s="5" t="n">
        <x:v>46233</x:v>
      </x:c>
      <x:c r="E297" s="1" t="n">
        <x:v>1744</x:v>
      </x:c>
      <x:c r="F297" s="6" t="n">
        <x:v>15.47</x:v>
      </x:c>
      <x:c r="G297" s="1" t="str">
        <x:v>None</x:v>
      </x:c>
      <x:c r="H297" s="5" t="n">
        <x:v>46188</x:v>
      </x:c>
      <x:c r="I297" s="5" t="n">
        <x:v>46234</x:v>
      </x:c>
      <x:c r="J297" s="10" t="n">
        <x:f>E297*F297</x:f>
        <x:v>26979.68</x:v>
      </x:c>
    </x:row>
    <x:row r="298">
      <x:c r="A298" s="1" t="str">
        <x:v>INV306</x:v>
      </x:c>
      <x:c r="B298" s="1" t="str">
        <x:v>PO0306</x:v>
      </x:c>
      <x:c r="C298" s="5" t="n">
        <x:v>46217</x:v>
      </x:c>
      <x:c r="D298" s="5" t="n">
        <x:v>46247</x:v>
      </x:c>
      <x:c r="E298" s="1" t="n">
        <x:v>751</x:v>
      </x:c>
      <x:c r="F298" s="6" t="n">
        <x:v>1.75</x:v>
      </x:c>
      <x:c r="G298" s="1" t="str">
        <x:v>None</x:v>
      </x:c>
      <x:c r="H298" s="5" t="n">
        <x:v>46217</x:v>
      </x:c>
      <x:c r="I298" s="5" t="n">
        <x:v>46249</x:v>
      </x:c>
      <x:c r="J298" s="10" t="n">
        <x:f>E298*F298</x:f>
        <x:v>1314.25</x:v>
      </x:c>
    </x:row>
    <x:row r="299">
      <x:c r="A299" s="1" t="str">
        <x:v>INV307</x:v>
      </x:c>
      <x:c r="B299" s="1" t="str">
        <x:v>PO0307</x:v>
      </x:c>
      <x:c r="C299" s="5" t="n">
        <x:v>46048</x:v>
      </x:c>
      <x:c r="D299" s="5" t="n">
        <x:v>46078</x:v>
      </x:c>
      <x:c r="E299" s="1" t="n">
        <x:v>2091</x:v>
      </x:c>
      <x:c r="F299" s="6" t="n">
        <x:v>6.86</x:v>
      </x:c>
      <x:c r="G299" s="1" t="str">
        <x:v>None</x:v>
      </x:c>
      <x:c r="H299" s="5" t="n">
        <x:v>46048</x:v>
      </x:c>
      <x:c r="I299" s="5" t="n">
        <x:v>46078</x:v>
      </x:c>
      <x:c r="J299" s="10" t="n">
        <x:f>E299*F299</x:f>
        <x:v>14344.26</x:v>
      </x:c>
    </x:row>
    <x:row r="300">
      <x:c r="A300" s="1" t="str">
        <x:v>INV308</x:v>
      </x:c>
      <x:c r="B300" s="1" t="str">
        <x:v>PO0308</x:v>
      </x:c>
      <x:c r="C300" s="5" t="n">
        <x:v>46234</x:v>
      </x:c>
      <x:c r="D300" s="5" t="n">
        <x:v>46294</x:v>
      </x:c>
      <x:c r="E300" s="1" t="n">
        <x:v>1273</x:v>
      </x:c>
      <x:c r="F300" s="6" t="n">
        <x:v>15.62</x:v>
      </x:c>
      <x:c r="G300" s="1" t="str">
        <x:v>Missing documentation</x:v>
      </x:c>
      <x:c r="H300" s="5" t="n">
        <x:v>46245</x:v>
      </x:c>
      <x:c r="I300" s="5"/>
      <x:c r="J300" s="10" t="n">
        <x:f>E300*F300</x:f>
        <x:v>19884.26</x:v>
      </x:c>
    </x:row>
    <x:row r="301">
      <x:c r="A301" s="1" t="str">
        <x:v>INV309</x:v>
      </x:c>
      <x:c r="B301" s="1" t="str">
        <x:v>PO0309</x:v>
      </x:c>
      <x:c r="C301" s="5" t="n">
        <x:v>46161</x:v>
      </x:c>
      <x:c r="D301" s="5" t="n">
        <x:v>46191</x:v>
      </x:c>
      <x:c r="E301" s="1" t="n">
        <x:v>1150</x:v>
      </x:c>
      <x:c r="F301" s="6" t="n">
        <x:v>20.36</x:v>
      </x:c>
      <x:c r="G301" s="1" t="str">
        <x:v>None</x:v>
      </x:c>
      <x:c r="H301" s="5" t="n">
        <x:v>46161</x:v>
      </x:c>
      <x:c r="I301" s="5" t="n">
        <x:v>46198</x:v>
      </x:c>
      <x:c r="J301" s="10" t="n">
        <x:f>E301*F301</x:f>
        <x:v>23414</x:v>
      </x:c>
    </x:row>
    <x:row r="302">
      <x:c r="A302" s="1" t="str">
        <x:v>INV311</x:v>
      </x:c>
      <x:c r="B302" s="1" t="str">
        <x:v>PO0311</x:v>
      </x:c>
      <x:c r="C302" s="5" t="n">
        <x:v>46279</x:v>
      </x:c>
      <x:c r="D302" s="5" t="n">
        <x:v>46324</x:v>
      </x:c>
      <x:c r="E302" s="1" t="n">
        <x:v>3602</x:v>
      </x:c>
      <x:c r="F302" s="6" t="n">
        <x:v>3.38</x:v>
      </x:c>
      <x:c r="G302" s="1" t="str">
        <x:v>None</x:v>
      </x:c>
      <x:c r="H302" s="5" t="n">
        <x:v>46279</x:v>
      </x:c>
      <x:c r="I302" s="5"/>
      <x:c r="J302" s="10" t="n">
        <x:f>E302*F302</x:f>
        <x:v>12174.76</x:v>
      </x:c>
    </x:row>
    <x:row r="303">
      <x:c r="A303" s="1" t="str">
        <x:v>INV312</x:v>
      </x:c>
      <x:c r="B303" s="1" t="str">
        <x:v>PO0312</x:v>
      </x:c>
      <x:c r="C303" s="5" t="n">
        <x:v>46177</x:v>
      </x:c>
      <x:c r="D303" s="5" t="n">
        <x:v>46222</x:v>
      </x:c>
      <x:c r="E303" s="1" t="n">
        <x:v>4243</x:v>
      </x:c>
      <x:c r="F303" s="6" t="n">
        <x:v>26.6</x:v>
      </x:c>
      <x:c r="G303" s="1" t="str">
        <x:v>Price mismatch</x:v>
      </x:c>
      <x:c r="H303" s="5" t="n">
        <x:v>46187</x:v>
      </x:c>
      <x:c r="I303" s="5" t="n">
        <x:v>46230</x:v>
      </x:c>
      <x:c r="J303" s="10" t="n">
        <x:f>E303*F303</x:f>
        <x:v>112863.8</x:v>
      </x:c>
    </x:row>
    <x:row r="304">
      <x:c r="A304" s="1" t="str">
        <x:v>INV313</x:v>
      </x:c>
      <x:c r="B304" s="1" t="str">
        <x:v>PO0313</x:v>
      </x:c>
      <x:c r="C304" s="5" t="n">
        <x:v>46295</x:v>
      </x:c>
      <x:c r="D304" s="5" t="n">
        <x:v>46355</x:v>
      </x:c>
      <x:c r="E304" s="1" t="n">
        <x:v>1481</x:v>
      </x:c>
      <x:c r="F304" s="6" t="n">
        <x:v>7.52</x:v>
      </x:c>
      <x:c r="G304" s="1" t="str">
        <x:v>Missing documentation</x:v>
      </x:c>
      <x:c r="H304" s="5"/>
      <x:c r="I304" s="5"/>
      <x:c r="J304" s="10" t="n">
        <x:f>E304*F304</x:f>
        <x:v>11137.119999999999</x:v>
      </x:c>
    </x:row>
    <x:row r="305">
      <x:c r="A305" s="1" t="str">
        <x:v>INV314</x:v>
      </x:c>
      <x:c r="B305" s="1" t="str">
        <x:v>PO0314</x:v>
      </x:c>
      <x:c r="C305" s="5" t="n">
        <x:v>46204</x:v>
      </x:c>
      <x:c r="D305" s="5" t="n">
        <x:v>46234</x:v>
      </x:c>
      <x:c r="E305" s="1" t="n">
        <x:v>611</x:v>
      </x:c>
      <x:c r="F305" s="6" t="n">
        <x:v>6.79</x:v>
      </x:c>
      <x:c r="G305" s="1" t="str">
        <x:v>None</x:v>
      </x:c>
      <x:c r="H305" s="5" t="n">
        <x:v>46204</x:v>
      </x:c>
      <x:c r="I305" s="5" t="n">
        <x:v>46233</x:v>
      </x:c>
      <x:c r="J305" s="10" t="n">
        <x:f>E305*F305</x:f>
        <x:v>4148.69</x:v>
      </x:c>
    </x:row>
    <x:row r="306">
      <x:c r="A306" s="1" t="str">
        <x:v>INV315</x:v>
      </x:c>
      <x:c r="B306" s="1" t="str">
        <x:v>PO0315</x:v>
      </x:c>
      <x:c r="C306" s="5" t="n">
        <x:v>46235</x:v>
      </x:c>
      <x:c r="D306" s="5" t="n">
        <x:v>46280</x:v>
      </x:c>
      <x:c r="E306" s="1" t="n">
        <x:v>1373</x:v>
      </x:c>
      <x:c r="F306" s="6" t="n">
        <x:v>12.79</x:v>
      </x:c>
      <x:c r="G306" s="1" t="str">
        <x:v>None</x:v>
      </x:c>
      <x:c r="H306" s="5" t="n">
        <x:v>46235</x:v>
      </x:c>
      <x:c r="I306" s="5" t="n">
        <x:v>46278</x:v>
      </x:c>
      <x:c r="J306" s="10" t="n">
        <x:f>E306*F306</x:f>
        <x:v>17560.67</x:v>
      </x:c>
    </x:row>
    <x:row r="307">
      <x:c r="A307" s="1" t="str">
        <x:v>INV316</x:v>
      </x:c>
      <x:c r="B307" s="1" t="str">
        <x:v>PO0316</x:v>
      </x:c>
      <x:c r="C307" s="5" t="n">
        <x:v>46167</x:v>
      </x:c>
      <x:c r="D307" s="5" t="n">
        <x:v>46212</x:v>
      </x:c>
      <x:c r="E307" s="1" t="n">
        <x:v>3866</x:v>
      </x:c>
      <x:c r="F307" s="6" t="n">
        <x:v>6.14</x:v>
      </x:c>
      <x:c r="G307" s="1" t="str">
        <x:v>None</x:v>
      </x:c>
      <x:c r="H307" s="5" t="n">
        <x:v>46167</x:v>
      </x:c>
      <x:c r="I307" s="5" t="n">
        <x:v>46210</x:v>
      </x:c>
      <x:c r="J307" s="10" t="n">
        <x:f>E307*F307</x:f>
        <x:v>23737.239999999998</x:v>
      </x:c>
    </x:row>
    <x:row r="308">
      <x:c r="A308" s="1" t="str">
        <x:v>INV317</x:v>
      </x:c>
      <x:c r="B308" s="1" t="str">
        <x:v>PO0317</x:v>
      </x:c>
      <x:c r="C308" s="5" t="n">
        <x:v>46133</x:v>
      </x:c>
      <x:c r="D308" s="5" t="n">
        <x:v>46193</x:v>
      </x:c>
      <x:c r="E308" s="1" t="n">
        <x:v>335</x:v>
      </x:c>
      <x:c r="F308" s="6" t="n">
        <x:v>19.88</x:v>
      </x:c>
      <x:c r="G308" s="1" t="str">
        <x:v>None</x:v>
      </x:c>
      <x:c r="H308" s="5" t="n">
        <x:v>46133</x:v>
      </x:c>
      <x:c r="I308" s="5" t="n">
        <x:v>46200</x:v>
      </x:c>
      <x:c r="J308" s="10" t="n">
        <x:f>E308*F308</x:f>
        <x:v>6659.799999999999</x:v>
      </x:c>
    </x:row>
    <x:row r="309">
      <x:c r="A309" s="1" t="str">
        <x:v>INV318</x:v>
      </x:c>
      <x:c r="B309" s="1" t="str">
        <x:v>PO0318</x:v>
      </x:c>
      <x:c r="C309" s="5" t="n">
        <x:v>46156</x:v>
      </x:c>
      <x:c r="D309" s="5" t="n">
        <x:v>46201</x:v>
      </x:c>
      <x:c r="E309" s="1" t="n">
        <x:v>2423</x:v>
      </x:c>
      <x:c r="F309" s="6" t="n">
        <x:v>20.09</x:v>
      </x:c>
      <x:c r="G309" s="1" t="str">
        <x:v>Missing documentation</x:v>
      </x:c>
      <x:c r="H309" s="5" t="n">
        <x:v>46180</x:v>
      </x:c>
      <x:c r="I309" s="5" t="n">
        <x:v>46209</x:v>
      </x:c>
      <x:c r="J309" s="10" t="n">
        <x:f>E309*F309</x:f>
        <x:v>48678.07</x:v>
      </x:c>
    </x:row>
    <x:row r="310">
      <x:c r="A310" s="1" t="str">
        <x:v>INV319</x:v>
      </x:c>
      <x:c r="B310" s="1" t="str">
        <x:v>PO0319</x:v>
      </x:c>
      <x:c r="C310" s="5" t="n">
        <x:v>46229</x:v>
      </x:c>
      <x:c r="D310" s="5" t="n">
        <x:v>46259</x:v>
      </x:c>
      <x:c r="E310" s="1" t="n">
        <x:v>4934</x:v>
      </x:c>
      <x:c r="F310" s="6" t="n">
        <x:v>11.03</x:v>
      </x:c>
      <x:c r="G310" s="1" t="str">
        <x:v>Missing documentation</x:v>
      </x:c>
      <x:c r="H310" s="5" t="n">
        <x:v>46244</x:v>
      </x:c>
      <x:c r="I310" s="5" t="n">
        <x:v>46263</x:v>
      </x:c>
      <x:c r="J310" s="10" t="n">
        <x:f>E310*F310</x:f>
        <x:v>54422.02</x:v>
      </x:c>
    </x:row>
    <x:row r="311">
      <x:c r="A311" s="1" t="str">
        <x:v>INV321</x:v>
      </x:c>
      <x:c r="B311" s="1" t="str">
        <x:v>PO0321</x:v>
      </x:c>
      <x:c r="C311" s="5" t="n">
        <x:v>46076</x:v>
      </x:c>
      <x:c r="D311" s="5" t="n">
        <x:v>46121</x:v>
      </x:c>
      <x:c r="E311" s="1" t="n">
        <x:v>4264</x:v>
      </x:c>
      <x:c r="F311" s="6" t="n">
        <x:v>19.18</x:v>
      </x:c>
      <x:c r="G311" s="1" t="str">
        <x:v>None</x:v>
      </x:c>
      <x:c r="H311" s="5" t="n">
        <x:v>46076</x:v>
      </x:c>
      <x:c r="I311" s="5" t="n">
        <x:v>46119</x:v>
      </x:c>
      <x:c r="J311" s="10" t="n">
        <x:f>E311*F311</x:f>
        <x:v>81783.52</x:v>
      </x:c>
    </x:row>
    <x:row r="312">
      <x:c r="A312" s="1" t="str">
        <x:v>INV322</x:v>
      </x:c>
      <x:c r="B312" s="1" t="str">
        <x:v>PO0322</x:v>
      </x:c>
      <x:c r="C312" s="5" t="n">
        <x:v>46052</x:v>
      </x:c>
      <x:c r="D312" s="5" t="n">
        <x:v>46082</x:v>
      </x:c>
      <x:c r="E312" s="1" t="n">
        <x:v>4814</x:v>
      </x:c>
      <x:c r="F312" s="6" t="n">
        <x:v>24.63</x:v>
      </x:c>
      <x:c r="G312" s="1" t="str">
        <x:v>None</x:v>
      </x:c>
      <x:c r="H312" s="5" t="n">
        <x:v>46052</x:v>
      </x:c>
      <x:c r="I312" s="5" t="n">
        <x:v>46087</x:v>
      </x:c>
      <x:c r="J312" s="10" t="n">
        <x:f>E312*F312</x:f>
        <x:v>118568.81999999999</x:v>
      </x:c>
    </x:row>
    <x:row r="313">
      <x:c r="A313" s="1" t="str">
        <x:v>INV323</x:v>
      </x:c>
      <x:c r="B313" s="1" t="str">
        <x:v>PO0323</x:v>
      </x:c>
      <x:c r="C313" s="5" t="n">
        <x:v>46152</x:v>
      </x:c>
      <x:c r="D313" s="5" t="n">
        <x:v>46212</x:v>
      </x:c>
      <x:c r="E313" s="1" t="n">
        <x:v>4634</x:v>
      </x:c>
      <x:c r="F313" s="6" t="n">
        <x:v>11.22</x:v>
      </x:c>
      <x:c r="G313" s="1" t="str">
        <x:v>None</x:v>
      </x:c>
      <x:c r="H313" s="5" t="n">
        <x:v>46152</x:v>
      </x:c>
      <x:c r="I313" s="5" t="n">
        <x:v>46216</x:v>
      </x:c>
      <x:c r="J313" s="10" t="n">
        <x:f>E313*F313</x:f>
        <x:v>51993.48</x:v>
      </x:c>
    </x:row>
    <x:row r="314">
      <x:c r="A314" s="1" t="str">
        <x:v>INV324</x:v>
      </x:c>
      <x:c r="B314" s="1" t="str">
        <x:v>PO0324</x:v>
      </x:c>
      <x:c r="C314" s="5" t="n">
        <x:v>46133</x:v>
      </x:c>
      <x:c r="D314" s="5" t="n">
        <x:v>46193</x:v>
      </x:c>
      <x:c r="E314" s="1" t="n">
        <x:v>808</x:v>
      </x:c>
      <x:c r="F314" s="6" t="n">
        <x:v>11.21</x:v>
      </x:c>
      <x:c r="G314" s="1" t="str">
        <x:v>Quantity mismatch</x:v>
      </x:c>
      <x:c r="H314" s="5" t="n">
        <x:v>46138</x:v>
      </x:c>
      <x:c r="I314" s="5" t="n">
        <x:v>46194</x:v>
      </x:c>
      <x:c r="J314" s="10" t="n">
        <x:f>E314*F314</x:f>
        <x:v>9057.68</x:v>
      </x:c>
    </x:row>
    <x:row r="315">
      <x:c r="A315" s="1" t="str">
        <x:v>INV325</x:v>
      </x:c>
      <x:c r="B315" s="1" t="str">
        <x:v>PO0325</x:v>
      </x:c>
      <x:c r="C315" s="5" t="n">
        <x:v>46223</x:v>
      </x:c>
      <x:c r="D315" s="5" t="n">
        <x:v>46253</x:v>
      </x:c>
      <x:c r="E315" s="1" t="n">
        <x:v>569</x:v>
      </x:c>
      <x:c r="F315" s="6" t="n">
        <x:v>11.28</x:v>
      </x:c>
      <x:c r="G315" s="1" t="str">
        <x:v>None</x:v>
      </x:c>
      <x:c r="H315" s="5" t="n">
        <x:v>46223</x:v>
      </x:c>
      <x:c r="I315" s="5" t="n">
        <x:v>46253</x:v>
      </x:c>
      <x:c r="J315" s="10" t="n">
        <x:f>E315*F315</x:f>
        <x:v>6418.32</x:v>
      </x:c>
    </x:row>
    <x:row r="316">
      <x:c r="A316" s="1" t="str">
        <x:v>INV326</x:v>
      </x:c>
      <x:c r="B316" s="1" t="str">
        <x:v>PO0326</x:v>
      </x:c>
      <x:c r="C316" s="5" t="n">
        <x:v>46275</x:v>
      </x:c>
      <x:c r="D316" s="5" t="n">
        <x:v>46320</x:v>
      </x:c>
      <x:c r="E316" s="1" t="n">
        <x:v>1102</x:v>
      </x:c>
      <x:c r="F316" s="6" t="n">
        <x:v>15.5</x:v>
      </x:c>
      <x:c r="G316" s="1" t="str">
        <x:v>None</x:v>
      </x:c>
      <x:c r="H316" s="5" t="n">
        <x:v>46275</x:v>
      </x:c>
      <x:c r="I316" s="5"/>
      <x:c r="J316" s="10" t="n">
        <x:f>E316*F316</x:f>
        <x:v>17081</x:v>
      </x:c>
    </x:row>
    <x:row r="317">
      <x:c r="A317" s="1" t="str">
        <x:v>INV327</x:v>
      </x:c>
      <x:c r="B317" s="1" t="str">
        <x:v>PO0327</x:v>
      </x:c>
      <x:c r="C317" s="5" t="n">
        <x:v>46090</x:v>
      </x:c>
      <x:c r="D317" s="5" t="n">
        <x:v>46120</x:v>
      </x:c>
      <x:c r="E317" s="1" t="n">
        <x:v>1757</x:v>
      </x:c>
      <x:c r="F317" s="6" t="n">
        <x:v>9.03</x:v>
      </x:c>
      <x:c r="G317" s="1" t="str">
        <x:v>Price mismatch</x:v>
      </x:c>
      <x:c r="H317" s="5" t="n">
        <x:v>46102</x:v>
      </x:c>
      <x:c r="I317" s="5" t="n">
        <x:v>46117</x:v>
      </x:c>
      <x:c r="J317" s="10" t="n">
        <x:f>E317*F317</x:f>
        <x:v>15865.71</x:v>
      </x:c>
    </x:row>
    <x:row r="318">
      <x:c r="A318" s="1" t="str">
        <x:v>INV328</x:v>
      </x:c>
      <x:c r="B318" s="1" t="str">
        <x:v>PO0328</x:v>
      </x:c>
      <x:c r="C318" s="5" t="n">
        <x:v>46204</x:v>
      </x:c>
      <x:c r="D318" s="5" t="n">
        <x:v>46249</x:v>
      </x:c>
      <x:c r="E318" s="1" t="n">
        <x:v>2648</x:v>
      </x:c>
      <x:c r="F318" s="6" t="n">
        <x:v>23.99</x:v>
      </x:c>
      <x:c r="G318" s="1" t="str">
        <x:v>None</x:v>
      </x:c>
      <x:c r="H318" s="5" t="n">
        <x:v>46204</x:v>
      </x:c>
      <x:c r="I318" s="5" t="n">
        <x:v>46257</x:v>
      </x:c>
      <x:c r="J318" s="10" t="n">
        <x:f>E318*F318</x:f>
        <x:v>63525.52</x:v>
      </x:c>
    </x:row>
    <x:row r="319">
      <x:c r="A319" s="1" t="str">
        <x:v>INV329</x:v>
      </x:c>
      <x:c r="B319" s="1" t="str">
        <x:v>PO0329</x:v>
      </x:c>
      <x:c r="C319" s="5" t="n">
        <x:v>46073</x:v>
      </x:c>
      <x:c r="D319" s="5" t="n">
        <x:v>46103</x:v>
      </x:c>
      <x:c r="E319" s="1" t="n">
        <x:v>1987</x:v>
      </x:c>
      <x:c r="F319" s="6" t="n">
        <x:v>23.96</x:v>
      </x:c>
      <x:c r="G319" s="1" t="str">
        <x:v>Quantity mismatch</x:v>
      </x:c>
      <x:c r="H319" s="5" t="n">
        <x:v>46083</x:v>
      </x:c>
      <x:c r="I319" s="5" t="n">
        <x:v>46107</x:v>
      </x:c>
      <x:c r="J319" s="10" t="n">
        <x:f>E319*F319</x:f>
        <x:v>47608.520000000004</x:v>
      </x:c>
    </x:row>
    <x:row r="320">
      <x:c r="A320" s="1" t="str">
        <x:v>INV330</x:v>
      </x:c>
      <x:c r="B320" s="1" t="str">
        <x:v>PO0330</x:v>
      </x:c>
      <x:c r="C320" s="5" t="n">
        <x:v>46250</x:v>
      </x:c>
      <x:c r="D320" s="5" t="n">
        <x:v>46295</x:v>
      </x:c>
      <x:c r="E320" s="1" t="n">
        <x:v>1379</x:v>
      </x:c>
      <x:c r="F320" s="6" t="n">
        <x:v>19.38</x:v>
      </x:c>
      <x:c r="G320" s="1" t="str">
        <x:v>None</x:v>
      </x:c>
      <x:c r="H320" s="5" t="n">
        <x:v>46250</x:v>
      </x:c>
      <x:c r="I320" s="5"/>
      <x:c r="J320" s="10" t="n">
        <x:f>E320*F320</x:f>
        <x:v>26725.02</x:v>
      </x:c>
    </x:row>
    <x:row r="321">
      <x:c r="A321" s="1" t="str">
        <x:v>INV331</x:v>
      </x:c>
      <x:c r="B321" s="1" t="str">
        <x:v>PO0331</x:v>
      </x:c>
      <x:c r="C321" s="5" t="n">
        <x:v>46221</x:v>
      </x:c>
      <x:c r="D321" s="5" t="n">
        <x:v>46266</x:v>
      </x:c>
      <x:c r="E321" s="1" t="n">
        <x:v>3457</x:v>
      </x:c>
      <x:c r="F321" s="6" t="n">
        <x:v>18.4</x:v>
      </x:c>
      <x:c r="G321" s="1" t="str">
        <x:v>None</x:v>
      </x:c>
      <x:c r="H321" s="5" t="n">
        <x:v>46221</x:v>
      </x:c>
      <x:c r="I321" s="5" t="n">
        <x:v>46265</x:v>
      </x:c>
      <x:c r="J321" s="10" t="n">
        <x:f>E321*F321</x:f>
        <x:v>63608.799999999996</x:v>
      </x:c>
    </x:row>
    <x:row r="322">
      <x:c r="A322" s="1" t="str">
        <x:v>INV332</x:v>
      </x:c>
      <x:c r="B322" s="1" t="str">
        <x:v>PO0332</x:v>
      </x:c>
      <x:c r="C322" s="5" t="n">
        <x:v>46182</x:v>
      </x:c>
      <x:c r="D322" s="5" t="n">
        <x:v>46212</x:v>
      </x:c>
      <x:c r="E322" s="1" t="n">
        <x:v>2093</x:v>
      </x:c>
      <x:c r="F322" s="6" t="n">
        <x:v>9.45</x:v>
      </x:c>
      <x:c r="G322" s="1" t="str">
        <x:v>None</x:v>
      </x:c>
      <x:c r="H322" s="5" t="n">
        <x:v>46182</x:v>
      </x:c>
      <x:c r="I322" s="5" t="n">
        <x:v>46213</x:v>
      </x:c>
      <x:c r="J322" s="10" t="n">
        <x:f>E322*F322</x:f>
        <x:v>19778.85</x:v>
      </x:c>
    </x:row>
    <x:row r="323">
      <x:c r="A323" s="1" t="str">
        <x:v>INV333</x:v>
      </x:c>
      <x:c r="B323" s="1" t="str">
        <x:v>PO0333</x:v>
      </x:c>
      <x:c r="C323" s="5" t="n">
        <x:v>46088</x:v>
      </x:c>
      <x:c r="D323" s="5" t="n">
        <x:v>46148</x:v>
      </x:c>
      <x:c r="E323" s="1" t="n">
        <x:v>3416</x:v>
      </x:c>
      <x:c r="F323" s="6" t="n">
        <x:v>14.52</x:v>
      </x:c>
      <x:c r="G323" s="1" t="str">
        <x:v>None</x:v>
      </x:c>
      <x:c r="H323" s="5" t="n">
        <x:v>46088</x:v>
      </x:c>
      <x:c r="I323" s="5" t="n">
        <x:v>46155</x:v>
      </x:c>
      <x:c r="J323" s="10" t="n">
        <x:f>E323*F323</x:f>
        <x:v>49600.32</x:v>
      </x:c>
    </x:row>
    <x:row r="324">
      <x:c r="A324" s="1" t="str">
        <x:v>INV334</x:v>
      </x:c>
      <x:c r="B324" s="1" t="str">
        <x:v>PO0334</x:v>
      </x:c>
      <x:c r="C324" s="5" t="n">
        <x:v>46145</x:v>
      </x:c>
      <x:c r="D324" s="5" t="n">
        <x:v>46175</x:v>
      </x:c>
      <x:c r="E324" s="1" t="n">
        <x:v>1111</x:v>
      </x:c>
      <x:c r="F324" s="6" t="n">
        <x:v>4.92</x:v>
      </x:c>
      <x:c r="G324" s="1" t="str">
        <x:v>Quantity mismatch</x:v>
      </x:c>
      <x:c r="H324" s="5" t="n">
        <x:v>46150</x:v>
      </x:c>
      <x:c r="I324" s="5" t="n">
        <x:v>46176</x:v>
      </x:c>
      <x:c r="J324" s="10" t="n">
        <x:f>E324*F324</x:f>
        <x:v>5466.12</x:v>
      </x:c>
    </x:row>
    <x:row r="325">
      <x:c r="A325" s="1" t="str">
        <x:v>INV335</x:v>
      </x:c>
      <x:c r="B325" s="1" t="str">
        <x:v>PO0335</x:v>
      </x:c>
      <x:c r="C325" s="5" t="n">
        <x:v>46270</x:v>
      </x:c>
      <x:c r="D325" s="5" t="n">
        <x:v>46315</x:v>
      </x:c>
      <x:c r="E325" s="1" t="n">
        <x:v>4477</x:v>
      </x:c>
      <x:c r="F325" s="6" t="n">
        <x:v>11.42</x:v>
      </x:c>
      <x:c r="G325" s="1" t="str">
        <x:v>None</x:v>
      </x:c>
      <x:c r="H325" s="5" t="n">
        <x:v>46270</x:v>
      </x:c>
      <x:c r="I325" s="5"/>
      <x:c r="J325" s="10" t="n">
        <x:f>E325*F325</x:f>
        <x:v>51127.34</x:v>
      </x:c>
    </x:row>
    <x:row r="326">
      <x:c r="A326" s="1" t="str">
        <x:v>INV336</x:v>
      </x:c>
      <x:c r="B326" s="1" t="str">
        <x:v>PO0336</x:v>
      </x:c>
      <x:c r="C326" s="5" t="n">
        <x:v>46257</x:v>
      </x:c>
      <x:c r="D326" s="5" t="n">
        <x:v>46302</x:v>
      </x:c>
      <x:c r="E326" s="1" t="n">
        <x:v>3675</x:v>
      </x:c>
      <x:c r="F326" s="6" t="n">
        <x:v>18.18</x:v>
      </x:c>
      <x:c r="G326" s="1" t="str">
        <x:v>None</x:v>
      </x:c>
      <x:c r="H326" s="5" t="n">
        <x:v>46257</x:v>
      </x:c>
      <x:c r="I326" s="5"/>
      <x:c r="J326" s="10" t="n">
        <x:f>E326*F326</x:f>
        <x:v>66811.5</x:v>
      </x:c>
    </x:row>
    <x:row r="327">
      <x:c r="A327" s="1" t="str">
        <x:v>INV337</x:v>
      </x:c>
      <x:c r="B327" s="1" t="str">
        <x:v>PO0337</x:v>
      </x:c>
      <x:c r="C327" s="5" t="n">
        <x:v>46137</x:v>
      </x:c>
      <x:c r="D327" s="5" t="n">
        <x:v>46197</x:v>
      </x:c>
      <x:c r="E327" s="1" t="n">
        <x:v>3465</x:v>
      </x:c>
      <x:c r="F327" s="6" t="n">
        <x:v>6.29</x:v>
      </x:c>
      <x:c r="G327" s="1" t="str">
        <x:v>Missing documentation</x:v>
      </x:c>
      <x:c r="H327" s="5" t="n">
        <x:v>46148</x:v>
      </x:c>
      <x:c r="I327" s="5" t="n">
        <x:v>46197</x:v>
      </x:c>
      <x:c r="J327" s="10" t="n">
        <x:f>E327*F327</x:f>
        <x:v>21794.85</x:v>
      </x:c>
    </x:row>
    <x:row r="328">
      <x:c r="A328" s="1" t="str">
        <x:v>INV338</x:v>
      </x:c>
      <x:c r="B328" s="1" t="str">
        <x:v>PO0338</x:v>
      </x:c>
      <x:c r="C328" s="5" t="n">
        <x:v>46056</x:v>
      </x:c>
      <x:c r="D328" s="5" t="n">
        <x:v>46116</x:v>
      </x:c>
      <x:c r="E328" s="1" t="n">
        <x:v>286</x:v>
      </x:c>
      <x:c r="F328" s="6" t="n">
        <x:v>13.52</x:v>
      </x:c>
      <x:c r="G328" s="1" t="str">
        <x:v>None</x:v>
      </x:c>
      <x:c r="H328" s="5" t="n">
        <x:v>46056</x:v>
      </x:c>
      <x:c r="I328" s="5" t="n">
        <x:v>46114</x:v>
      </x:c>
      <x:c r="J328" s="10" t="n">
        <x:f>E328*F328</x:f>
        <x:v>3866.72</x:v>
      </x:c>
    </x:row>
    <x:row r="329">
      <x:c r="A329" s="1" t="str">
        <x:v>INV339</x:v>
      </x:c>
      <x:c r="B329" s="1" t="str">
        <x:v>PO0339</x:v>
      </x:c>
      <x:c r="C329" s="5" t="n">
        <x:v>46169</x:v>
      </x:c>
      <x:c r="D329" s="5" t="n">
        <x:v>46214</x:v>
      </x:c>
      <x:c r="E329" s="1" t="n">
        <x:v>2120</x:v>
      </x:c>
      <x:c r="F329" s="6" t="n">
        <x:v>18.91</x:v>
      </x:c>
      <x:c r="G329" s="1" t="str">
        <x:v>None</x:v>
      </x:c>
      <x:c r="H329" s="5" t="n">
        <x:v>46169</x:v>
      </x:c>
      <x:c r="I329" s="5" t="n">
        <x:v>46222</x:v>
      </x:c>
      <x:c r="J329" s="10" t="n">
        <x:f>E329*F329</x:f>
        <x:v>40089.2</x:v>
      </x:c>
    </x:row>
    <x:row r="330">
      <x:c r="A330" s="1" t="str">
        <x:v>INV340</x:v>
      </x:c>
      <x:c r="B330" s="1" t="str">
        <x:v>PO0340</x:v>
      </x:c>
      <x:c r="C330" s="5" t="n">
        <x:v>46247</x:v>
      </x:c>
      <x:c r="D330" s="5" t="n">
        <x:v>46292</x:v>
      </x:c>
      <x:c r="E330" s="1" t="n">
        <x:v>561</x:v>
      </x:c>
      <x:c r="F330" s="6" t="n">
        <x:v>3</x:v>
      </x:c>
      <x:c r="G330" s="1" t="str">
        <x:v>None</x:v>
      </x:c>
      <x:c r="H330" s="5" t="n">
        <x:v>46247</x:v>
      </x:c>
      <x:c r="I330" s="5" t="n">
        <x:v>46291</x:v>
      </x:c>
      <x:c r="J330" s="10" t="n">
        <x:f>E330*F330</x:f>
        <x:v>1683</x:v>
      </x:c>
    </x:row>
    <x:row r="331">
      <x:c r="A331" s="1" t="str">
        <x:v>INV341</x:v>
      </x:c>
      <x:c r="B331" s="1" t="str">
        <x:v>PO0341</x:v>
      </x:c>
      <x:c r="C331" s="5" t="n">
        <x:v>46086</x:v>
      </x:c>
      <x:c r="D331" s="5" t="n">
        <x:v>46116</x:v>
      </x:c>
      <x:c r="E331" s="1" t="n">
        <x:v>2172</x:v>
      </x:c>
      <x:c r="F331" s="6" t="n">
        <x:v>11.96</x:v>
      </x:c>
      <x:c r="G331" s="1" t="str">
        <x:v>None</x:v>
      </x:c>
      <x:c r="H331" s="5" t="n">
        <x:v>46086</x:v>
      </x:c>
      <x:c r="I331" s="5" t="n">
        <x:v>46119</x:v>
      </x:c>
      <x:c r="J331" s="10" t="n">
        <x:f>E331*F331</x:f>
        <x:v>25977.120000000003</x:v>
      </x:c>
    </x:row>
    <x:row r="332">
      <x:c r="A332" s="1" t="str">
        <x:v>INV342</x:v>
      </x:c>
      <x:c r="B332" s="1" t="str">
        <x:v>PO0342</x:v>
      </x:c>
      <x:c r="C332" s="5" t="n">
        <x:v>46200</x:v>
      </x:c>
      <x:c r="D332" s="5" t="n">
        <x:v>46260</x:v>
      </x:c>
      <x:c r="E332" s="1" t="n">
        <x:v>1994</x:v>
      </x:c>
      <x:c r="F332" s="6" t="n">
        <x:v>1.54</x:v>
      </x:c>
      <x:c r="G332" s="1" t="str">
        <x:v>None</x:v>
      </x:c>
      <x:c r="H332" s="5" t="n">
        <x:v>46200</x:v>
      </x:c>
      <x:c r="I332" s="5" t="n">
        <x:v>46267</x:v>
      </x:c>
      <x:c r="J332" s="10" t="n">
        <x:f>E332*F332</x:f>
        <x:v>3070.76</x:v>
      </x:c>
    </x:row>
    <x:row r="333">
      <x:c r="A333" s="1" t="str">
        <x:v>INV343</x:v>
      </x:c>
      <x:c r="B333" s="1" t="str">
        <x:v>PO0343</x:v>
      </x:c>
      <x:c r="C333" s="5" t="n">
        <x:v>46075</x:v>
      </x:c>
      <x:c r="D333" s="5" t="n">
        <x:v>46120</x:v>
      </x:c>
      <x:c r="E333" s="1" t="n">
        <x:v>155</x:v>
      </x:c>
      <x:c r="F333" s="6" t="n">
        <x:v>11.82</x:v>
      </x:c>
      <x:c r="G333" s="1" t="str">
        <x:v>None</x:v>
      </x:c>
      <x:c r="H333" s="5" t="n">
        <x:v>46075</x:v>
      </x:c>
      <x:c r="I333" s="5" t="n">
        <x:v>46125</x:v>
      </x:c>
      <x:c r="J333" s="10" t="n">
        <x:f>E333*F333</x:f>
        <x:v>1832.1000000000001</x:v>
      </x:c>
    </x:row>
    <x:row r="334">
      <x:c r="A334" s="1" t="str">
        <x:v>INV344</x:v>
      </x:c>
      <x:c r="B334" s="1" t="str">
        <x:v>PO0344</x:v>
      </x:c>
      <x:c r="C334" s="5" t="n">
        <x:v>46152</x:v>
      </x:c>
      <x:c r="D334" s="5" t="n">
        <x:v>46182</x:v>
      </x:c>
      <x:c r="E334" s="1" t="n">
        <x:v>1745</x:v>
      </x:c>
      <x:c r="F334" s="6" t="n">
        <x:v>12.69</x:v>
      </x:c>
      <x:c r="G334" s="1" t="str">
        <x:v>Missing documentation</x:v>
      </x:c>
      <x:c r="H334" s="5" t="n">
        <x:v>46175</x:v>
      </x:c>
      <x:c r="I334" s="5" t="n">
        <x:v>46187</x:v>
      </x:c>
      <x:c r="J334" s="10" t="n">
        <x:f>E334*F334</x:f>
        <x:v>22144.05</x:v>
      </x:c>
    </x:row>
    <x:row r="335">
      <x:c r="A335" s="1" t="str">
        <x:v>INV345</x:v>
      </x:c>
      <x:c r="B335" s="1" t="str">
        <x:v>PO0345</x:v>
      </x:c>
      <x:c r="C335" s="5" t="n">
        <x:v>46079</x:v>
      </x:c>
      <x:c r="D335" s="5" t="n">
        <x:v>46124</x:v>
      </x:c>
      <x:c r="E335" s="1" t="n">
        <x:v>1506</x:v>
      </x:c>
      <x:c r="F335" s="6" t="n">
        <x:v>8.72</x:v>
      </x:c>
      <x:c r="G335" s="1" t="str">
        <x:v>Missing documentation</x:v>
      </x:c>
      <x:c r="H335" s="5" t="n">
        <x:v>46102</x:v>
      </x:c>
      <x:c r="I335" s="5" t="n">
        <x:v>46132</x:v>
      </x:c>
      <x:c r="J335" s="10" t="n">
        <x:f>E335*F335</x:f>
        <x:v>13132.320000000002</x:v>
      </x:c>
    </x:row>
    <x:row r="336">
      <x:c r="A336" s="1" t="str">
        <x:v>INV346</x:v>
      </x:c>
      <x:c r="B336" s="1" t="str">
        <x:v>PO0346</x:v>
      </x:c>
      <x:c r="C336" s="5" t="n">
        <x:v>46166</x:v>
      </x:c>
      <x:c r="D336" s="5" t="n">
        <x:v>46196</x:v>
      </x:c>
      <x:c r="E336" s="1" t="n">
        <x:v>3008</x:v>
      </x:c>
      <x:c r="F336" s="6" t="n">
        <x:v>5.82</x:v>
      </x:c>
      <x:c r="G336" s="1" t="str">
        <x:v>Quantity mismatch</x:v>
      </x:c>
      <x:c r="H336" s="5" t="n">
        <x:v>46184</x:v>
      </x:c>
      <x:c r="I336" s="5" t="n">
        <x:v>46198</x:v>
      </x:c>
      <x:c r="J336" s="10" t="n">
        <x:f>E336*F336</x:f>
        <x:v>17506.56</x:v>
      </x:c>
    </x:row>
    <x:row r="337">
      <x:c r="A337" s="1" t="str">
        <x:v>INV347</x:v>
      </x:c>
      <x:c r="B337" s="1" t="str">
        <x:v>PO0347</x:v>
      </x:c>
      <x:c r="C337" s="5" t="n">
        <x:v>46156</x:v>
      </x:c>
      <x:c r="D337" s="5" t="n">
        <x:v>46201</x:v>
      </x:c>
      <x:c r="E337" s="1" t="n">
        <x:v>4124</x:v>
      </x:c>
      <x:c r="F337" s="6" t="n">
        <x:v>5.66</x:v>
      </x:c>
      <x:c r="G337" s="1" t="str">
        <x:v>None</x:v>
      </x:c>
      <x:c r="H337" s="5" t="n">
        <x:v>46156</x:v>
      </x:c>
      <x:c r="I337" s="5" t="n">
        <x:v>46209</x:v>
      </x:c>
      <x:c r="J337" s="10" t="n">
        <x:f>E337*F337</x:f>
        <x:v>23341.84</x:v>
      </x:c>
    </x:row>
    <x:row r="338">
      <x:c r="A338" s="1" t="str">
        <x:v>INV348</x:v>
      </x:c>
      <x:c r="B338" s="1" t="str">
        <x:v>PO0348</x:v>
      </x:c>
      <x:c r="C338" s="5" t="n">
        <x:v>46124</x:v>
      </x:c>
      <x:c r="D338" s="5" t="n">
        <x:v>46184</x:v>
      </x:c>
      <x:c r="E338" s="1" t="n">
        <x:v>2731</x:v>
      </x:c>
      <x:c r="F338" s="6" t="n">
        <x:v>21.32</x:v>
      </x:c>
      <x:c r="G338" s="1" t="str">
        <x:v>None</x:v>
      </x:c>
      <x:c r="H338" s="5" t="n">
        <x:v>46124</x:v>
      </x:c>
      <x:c r="I338" s="5" t="n">
        <x:v>46185</x:v>
      </x:c>
      <x:c r="J338" s="10" t="n">
        <x:f>E338*F338</x:f>
        <x:v>58224.92</x:v>
      </x:c>
    </x:row>
    <x:row r="339">
      <x:c r="A339" s="1" t="str">
        <x:v>INV349</x:v>
      </x:c>
      <x:c r="B339" s="1" t="str">
        <x:v>PO0349</x:v>
      </x:c>
      <x:c r="C339" s="5" t="n">
        <x:v>46104</x:v>
      </x:c>
      <x:c r="D339" s="5" t="n">
        <x:v>46164</x:v>
      </x:c>
      <x:c r="E339" s="1" t="n">
        <x:v>3208</x:v>
      </x:c>
      <x:c r="F339" s="6" t="n">
        <x:v>7.19</x:v>
      </x:c>
      <x:c r="G339" s="1" t="str">
        <x:v>None</x:v>
      </x:c>
      <x:c r="H339" s="5" t="n">
        <x:v>46104</x:v>
      </x:c>
      <x:c r="I339" s="5" t="n">
        <x:v>46172</x:v>
      </x:c>
      <x:c r="J339" s="10" t="n">
        <x:f>E339*F339</x:f>
        <x:v>23065.52</x:v>
      </x:c>
    </x:row>
    <x:row r="340">
      <x:c r="A340" s="1" t="str">
        <x:v>INV350</x:v>
      </x:c>
      <x:c r="B340" s="1" t="str">
        <x:v>PO0350</x:v>
      </x:c>
      <x:c r="C340" s="5" t="n">
        <x:v>46194</x:v>
      </x:c>
      <x:c r="D340" s="5" t="n">
        <x:v>46224</x:v>
      </x:c>
      <x:c r="E340" s="1" t="n">
        <x:v>722</x:v>
      </x:c>
      <x:c r="F340" s="6" t="n">
        <x:v>6.05</x:v>
      </x:c>
      <x:c r="G340" s="1" t="str">
        <x:v>None</x:v>
      </x:c>
      <x:c r="H340" s="5" t="n">
        <x:v>46194</x:v>
      </x:c>
      <x:c r="I340" s="5" t="n">
        <x:v>46224</x:v>
      </x:c>
      <x:c r="J340" s="10" t="n">
        <x:f>E340*F340</x:f>
        <x:v>4368.099999999999</x:v>
      </x:c>
    </x:row>
    <x:row r="341">
      <x:c r="A341" s="1" t="str">
        <x:v>INV351</x:v>
      </x:c>
      <x:c r="B341" s="1" t="str">
        <x:v>PO0351</x:v>
      </x:c>
      <x:c r="C341" s="5" t="n">
        <x:v>46167</x:v>
      </x:c>
      <x:c r="D341" s="5" t="n">
        <x:v>46227</x:v>
      </x:c>
      <x:c r="E341" s="1" t="n">
        <x:v>1405</x:v>
      </x:c>
      <x:c r="F341" s="6" t="n">
        <x:v>7.58</x:v>
      </x:c>
      <x:c r="G341" s="1" t="str">
        <x:v>None</x:v>
      </x:c>
      <x:c r="H341" s="5" t="n">
        <x:v>46167</x:v>
      </x:c>
      <x:c r="I341" s="5" t="n">
        <x:v>46225</x:v>
      </x:c>
      <x:c r="J341" s="10" t="n">
        <x:f>E341*F341</x:f>
        <x:v>10649.9</x:v>
      </x:c>
    </x:row>
    <x:row r="342">
      <x:c r="A342" s="1" t="str">
        <x:v>INV352</x:v>
      </x:c>
      <x:c r="B342" s="1" t="str">
        <x:v>PO0352</x:v>
      </x:c>
      <x:c r="C342" s="5" t="n">
        <x:v>46180</x:v>
      </x:c>
      <x:c r="D342" s="5" t="n">
        <x:v>46240</x:v>
      </x:c>
      <x:c r="E342" s="1" t="n">
        <x:v>183</x:v>
      </x:c>
      <x:c r="F342" s="6" t="n">
        <x:v>1.07</x:v>
      </x:c>
      <x:c r="G342" s="1" t="str">
        <x:v>None</x:v>
      </x:c>
      <x:c r="H342" s="5" t="n">
        <x:v>46180</x:v>
      </x:c>
      <x:c r="I342" s="5" t="n">
        <x:v>46246</x:v>
      </x:c>
      <x:c r="J342" s="10" t="n">
        <x:f>E342*F342</x:f>
        <x:v>195.81</x:v>
      </x:c>
    </x:row>
    <x:row r="343">
      <x:c r="A343" s="1" t="str">
        <x:v>INV353</x:v>
      </x:c>
      <x:c r="B343" s="1" t="str">
        <x:v>PO0353</x:v>
      </x:c>
      <x:c r="C343" s="5" t="n">
        <x:v>46168</x:v>
      </x:c>
      <x:c r="D343" s="5" t="n">
        <x:v>46228</x:v>
      </x:c>
      <x:c r="E343" s="1" t="n">
        <x:v>1643</x:v>
      </x:c>
      <x:c r="F343" s="6" t="n">
        <x:v>19.46</x:v>
      </x:c>
      <x:c r="G343" s="1" t="str">
        <x:v>None</x:v>
      </x:c>
      <x:c r="H343" s="5" t="n">
        <x:v>46168</x:v>
      </x:c>
      <x:c r="I343" s="5" t="n">
        <x:v>46226</x:v>
      </x:c>
      <x:c r="J343" s="10" t="n">
        <x:f>E343*F343</x:f>
        <x:v>31972.780000000002</x:v>
      </x:c>
    </x:row>
    <x:row r="344">
      <x:c r="A344" s="1" t="str">
        <x:v>INV354</x:v>
      </x:c>
      <x:c r="B344" s="1" t="str">
        <x:v>PO0354</x:v>
      </x:c>
      <x:c r="C344" s="5" t="n">
        <x:v>46217</x:v>
      </x:c>
      <x:c r="D344" s="5" t="n">
        <x:v>46262</x:v>
      </x:c>
      <x:c r="E344" s="1" t="n">
        <x:v>3044</x:v>
      </x:c>
      <x:c r="F344" s="6" t="n">
        <x:v>1.55</x:v>
      </x:c>
      <x:c r="G344" s="1" t="str">
        <x:v>None</x:v>
      </x:c>
      <x:c r="H344" s="5" t="n">
        <x:v>46217</x:v>
      </x:c>
      <x:c r="I344" s="5" t="n">
        <x:v>46261</x:v>
      </x:c>
      <x:c r="J344" s="10" t="n">
        <x:f>E344*F344</x:f>
        <x:v>4718.2</x:v>
      </x:c>
    </x:row>
    <x:row r="345">
      <x:c r="A345" s="1" t="str">
        <x:v>INV356</x:v>
      </x:c>
      <x:c r="B345" s="1" t="str">
        <x:v>PO0356</x:v>
      </x:c>
      <x:c r="C345" s="5" t="n">
        <x:v>46170</x:v>
      </x:c>
      <x:c r="D345" s="5" t="n">
        <x:v>46200</x:v>
      </x:c>
      <x:c r="E345" s="1" t="n">
        <x:v>2490</x:v>
      </x:c>
      <x:c r="F345" s="6" t="n">
        <x:v>4.6</x:v>
      </x:c>
      <x:c r="G345" s="1" t="str">
        <x:v>None</x:v>
      </x:c>
      <x:c r="H345" s="5" t="n">
        <x:v>46170</x:v>
      </x:c>
      <x:c r="I345" s="5" t="n">
        <x:v>46205</x:v>
      </x:c>
      <x:c r="J345" s="10" t="n">
        <x:f>E345*F345</x:f>
        <x:v>11454</x:v>
      </x:c>
    </x:row>
    <x:row r="346">
      <x:c r="A346" s="1" t="str">
        <x:v>INV357</x:v>
      </x:c>
      <x:c r="B346" s="1" t="str">
        <x:v>PO0357</x:v>
      </x:c>
      <x:c r="C346" s="5" t="n">
        <x:v>46075</x:v>
      </x:c>
      <x:c r="D346" s="5" t="n">
        <x:v>46135</x:v>
      </x:c>
      <x:c r="E346" s="1" t="n">
        <x:v>165</x:v>
      </x:c>
      <x:c r="F346" s="6" t="n">
        <x:v>1.89</x:v>
      </x:c>
      <x:c r="G346" s="1" t="str">
        <x:v>None</x:v>
      </x:c>
      <x:c r="H346" s="5" t="n">
        <x:v>46075</x:v>
      </x:c>
      <x:c r="I346" s="5" t="n">
        <x:v>46139</x:v>
      </x:c>
      <x:c r="J346" s="10" t="n">
        <x:f>E346*F346</x:f>
        <x:v>311.84999999999997</x:v>
      </x:c>
    </x:row>
    <x:row r="347">
      <x:c r="A347" s="1" t="str">
        <x:v>INV358</x:v>
      </x:c>
      <x:c r="B347" s="1" t="str">
        <x:v>PO0358</x:v>
      </x:c>
      <x:c r="C347" s="5" t="n">
        <x:v>46112</x:v>
      </x:c>
      <x:c r="D347" s="5" t="n">
        <x:v>46142</x:v>
      </x:c>
      <x:c r="E347" s="1" t="n">
        <x:v>3626</x:v>
      </x:c>
      <x:c r="F347" s="6" t="n">
        <x:v>12.36</x:v>
      </x:c>
      <x:c r="G347" s="1" t="str">
        <x:v>Quantity mismatch</x:v>
      </x:c>
      <x:c r="H347" s="5" t="n">
        <x:v>46128</x:v>
      </x:c>
      <x:c r="I347" s="5" t="n">
        <x:v>46139</x:v>
      </x:c>
      <x:c r="J347" s="10" t="n">
        <x:f>E347*F347</x:f>
        <x:v>44817.36</x:v>
      </x:c>
    </x:row>
    <x:row r="348">
      <x:c r="A348" s="1" t="str">
        <x:v>INV359</x:v>
      </x:c>
      <x:c r="B348" s="1" t="str">
        <x:v>PO0359</x:v>
      </x:c>
      <x:c r="C348" s="5" t="n">
        <x:v>46072</x:v>
      </x:c>
      <x:c r="D348" s="5" t="n">
        <x:v>46117</x:v>
      </x:c>
      <x:c r="E348" s="1" t="n">
        <x:v>4419</x:v>
      </x:c>
      <x:c r="F348" s="6" t="n">
        <x:v>24.59</x:v>
      </x:c>
      <x:c r="G348" s="1" t="str">
        <x:v>Quantity mismatch</x:v>
      </x:c>
      <x:c r="H348" s="5" t="n">
        <x:v>46092</x:v>
      </x:c>
      <x:c r="I348" s="5" t="n">
        <x:v>46120</x:v>
      </x:c>
      <x:c r="J348" s="10" t="n">
        <x:f>E348*F348</x:f>
        <x:v>108663.21</x:v>
      </x:c>
    </x:row>
    <x:row r="349">
      <x:c r="A349" s="1" t="str">
        <x:v>INV360</x:v>
      </x:c>
      <x:c r="B349" s="1" t="str">
        <x:v>PO0360</x:v>
      </x:c>
      <x:c r="C349" s="5" t="n">
        <x:v>46280</x:v>
      </x:c>
      <x:c r="D349" s="5" t="n">
        <x:v>46325</x:v>
      </x:c>
      <x:c r="E349" s="1" t="n">
        <x:v>149</x:v>
      </x:c>
      <x:c r="F349" s="6" t="n">
        <x:v>15.95</x:v>
      </x:c>
      <x:c r="G349" s="1" t="str">
        <x:v>None</x:v>
      </x:c>
      <x:c r="H349" s="5" t="n">
        <x:v>46280</x:v>
      </x:c>
      <x:c r="I349" s="5"/>
      <x:c r="J349" s="10" t="n">
        <x:f>E349*F349</x:f>
        <x:v>2376.5499999999997</x:v>
      </x:c>
    </x:row>
    <x:row r="350">
      <x:c r="A350" s="1" t="str">
        <x:v>INV361</x:v>
      </x:c>
      <x:c r="B350" s="1" t="str">
        <x:v>PO0361</x:v>
      </x:c>
      <x:c r="C350" s="5" t="n">
        <x:v>46095</x:v>
      </x:c>
      <x:c r="D350" s="5" t="n">
        <x:v>46140</x:v>
      </x:c>
      <x:c r="E350" s="1" t="n">
        <x:v>1830</x:v>
      </x:c>
      <x:c r="F350" s="6" t="n">
        <x:v>24.89</x:v>
      </x:c>
      <x:c r="G350" s="1" t="str">
        <x:v>None</x:v>
      </x:c>
      <x:c r="H350" s="5" t="n">
        <x:v>46095</x:v>
      </x:c>
      <x:c r="I350" s="5" t="n">
        <x:v>46145</x:v>
      </x:c>
      <x:c r="J350" s="10" t="n">
        <x:f>E350*F350</x:f>
        <x:v>45548.700000000004</x:v>
      </x:c>
    </x:row>
    <x:row r="351">
      <x:c r="A351" s="1" t="str">
        <x:v>INV362</x:v>
      </x:c>
      <x:c r="B351" s="1" t="str">
        <x:v>PO0362</x:v>
      </x:c>
      <x:c r="C351" s="5" t="n">
        <x:v>46053</x:v>
      </x:c>
      <x:c r="D351" s="5" t="n">
        <x:v>46098</x:v>
      </x:c>
      <x:c r="E351" s="1" t="n">
        <x:v>1959</x:v>
      </x:c>
      <x:c r="F351" s="6" t="n">
        <x:v>17.64</x:v>
      </x:c>
      <x:c r="G351" s="1" t="str">
        <x:v>None</x:v>
      </x:c>
      <x:c r="H351" s="5" t="n">
        <x:v>46053</x:v>
      </x:c>
      <x:c r="I351" s="5" t="n">
        <x:v>46101</x:v>
      </x:c>
      <x:c r="J351" s="10" t="n">
        <x:f>E351*F351</x:f>
        <x:v>34556.76</x:v>
      </x:c>
    </x:row>
    <x:row r="352">
      <x:c r="A352" s="1" t="str">
        <x:v>INV363</x:v>
      </x:c>
      <x:c r="B352" s="1" t="str">
        <x:v>PO0363</x:v>
      </x:c>
      <x:c r="C352" s="5" t="n">
        <x:v>46098</x:v>
      </x:c>
      <x:c r="D352" s="5" t="n">
        <x:v>46128</x:v>
      </x:c>
      <x:c r="E352" s="1" t="n">
        <x:v>1688</x:v>
      </x:c>
      <x:c r="F352" s="6" t="n">
        <x:v>3.81</x:v>
      </x:c>
      <x:c r="G352" s="1" t="str">
        <x:v>None</x:v>
      </x:c>
      <x:c r="H352" s="5" t="n">
        <x:v>46098</x:v>
      </x:c>
      <x:c r="I352" s="5" t="n">
        <x:v>46135</x:v>
      </x:c>
      <x:c r="J352" s="10" t="n">
        <x:f>E352*F352</x:f>
        <x:v>6431.28</x:v>
      </x:c>
    </x:row>
    <x:row r="353">
      <x:c r="A353" s="1" t="str">
        <x:v>INV364</x:v>
      </x:c>
      <x:c r="B353" s="1" t="str">
        <x:v>PO0364</x:v>
      </x:c>
      <x:c r="C353" s="5" t="n">
        <x:v>46217</x:v>
      </x:c>
      <x:c r="D353" s="5" t="n">
        <x:v>46262</x:v>
      </x:c>
      <x:c r="E353" s="1" t="n">
        <x:v>4388</x:v>
      </x:c>
      <x:c r="F353" s="6" t="n">
        <x:v>15.03</x:v>
      </x:c>
      <x:c r="G353" s="1" t="str">
        <x:v>None</x:v>
      </x:c>
      <x:c r="H353" s="5" t="n">
        <x:v>46217</x:v>
      </x:c>
      <x:c r="I353" s="5" t="n">
        <x:v>46268</x:v>
      </x:c>
      <x:c r="J353" s="10" t="n">
        <x:f>E353*F353</x:f>
        <x:v>65951.64</x:v>
      </x:c>
    </x:row>
    <x:row r="354">
      <x:c r="A354" s="1" t="str">
        <x:v>INV365</x:v>
      </x:c>
      <x:c r="B354" s="1" t="str">
        <x:v>PO0365</x:v>
      </x:c>
      <x:c r="C354" s="5" t="n">
        <x:v>46203</x:v>
      </x:c>
      <x:c r="D354" s="5" t="n">
        <x:v>46233</x:v>
      </x:c>
      <x:c r="E354" s="1" t="n">
        <x:v>1400</x:v>
      </x:c>
      <x:c r="F354" s="6" t="n">
        <x:v>14.81</x:v>
      </x:c>
      <x:c r="G354" s="1" t="str">
        <x:v>None</x:v>
      </x:c>
      <x:c r="H354" s="5" t="n">
        <x:v>46203</x:v>
      </x:c>
      <x:c r="I354" s="5" t="n">
        <x:v>46234</x:v>
      </x:c>
      <x:c r="J354" s="10" t="n">
        <x:f>E354*F354</x:f>
        <x:v>20734</x:v>
      </x:c>
    </x:row>
    <x:row r="355">
      <x:c r="A355" s="1" t="str">
        <x:v>INV366</x:v>
      </x:c>
      <x:c r="B355" s="1" t="str">
        <x:v>PO0366</x:v>
      </x:c>
      <x:c r="C355" s="5" t="n">
        <x:v>46146</x:v>
      </x:c>
      <x:c r="D355" s="5" t="n">
        <x:v>46191</x:v>
      </x:c>
      <x:c r="E355" s="1" t="n">
        <x:v>4318</x:v>
      </x:c>
      <x:c r="F355" s="6" t="n">
        <x:v>22.34</x:v>
      </x:c>
      <x:c r="G355" s="1" t="str">
        <x:v>None</x:v>
      </x:c>
      <x:c r="H355" s="5" t="n">
        <x:v>46146</x:v>
      </x:c>
      <x:c r="I355" s="5" t="n">
        <x:v>46196</x:v>
      </x:c>
      <x:c r="J355" s="10" t="n">
        <x:f>E355*F355</x:f>
        <x:v>96464.12</x:v>
      </x:c>
    </x:row>
    <x:row r="356">
      <x:c r="A356" s="1" t="str">
        <x:v>INV367</x:v>
      </x:c>
      <x:c r="B356" s="1" t="str">
        <x:v>PO0367</x:v>
      </x:c>
      <x:c r="C356" s="5" t="n">
        <x:v>46266</x:v>
      </x:c>
      <x:c r="D356" s="5" t="n">
        <x:v>46311</x:v>
      </x:c>
      <x:c r="E356" s="1" t="n">
        <x:v>1501</x:v>
      </x:c>
      <x:c r="F356" s="6" t="n">
        <x:v>8.74</x:v>
      </x:c>
      <x:c r="G356" s="1" t="str">
        <x:v>None</x:v>
      </x:c>
      <x:c r="H356" s="5" t="n">
        <x:v>46266</x:v>
      </x:c>
      <x:c r="I356" s="5"/>
      <x:c r="J356" s="10" t="n">
        <x:f>E356*F356</x:f>
        <x:v>13118.74</x:v>
      </x:c>
    </x:row>
    <x:row r="357">
      <x:c r="A357" s="1" t="str">
        <x:v>INV368</x:v>
      </x:c>
      <x:c r="B357" s="1" t="str">
        <x:v>PO0368</x:v>
      </x:c>
      <x:c r="C357" s="5" t="n">
        <x:v>46277</x:v>
      </x:c>
      <x:c r="D357" s="5" t="n">
        <x:v>46337</x:v>
      </x:c>
      <x:c r="E357" s="1" t="n">
        <x:v>2001</x:v>
      </x:c>
      <x:c r="F357" s="6" t="n">
        <x:v>18.5</x:v>
      </x:c>
      <x:c r="G357" s="1" t="str">
        <x:v>None</x:v>
      </x:c>
      <x:c r="H357" s="5" t="n">
        <x:v>46277</x:v>
      </x:c>
      <x:c r="I357" s="5"/>
      <x:c r="J357" s="10" t="n">
        <x:f>E357*F357</x:f>
        <x:v>37018.5</x:v>
      </x:c>
    </x:row>
    <x:row r="358">
      <x:c r="A358" s="1" t="str">
        <x:v>INV369</x:v>
      </x:c>
      <x:c r="B358" s="1" t="str">
        <x:v>PO0369</x:v>
      </x:c>
      <x:c r="C358" s="5" t="n">
        <x:v>46290</x:v>
      </x:c>
      <x:c r="D358" s="5" t="n">
        <x:v>46335</x:v>
      </x:c>
      <x:c r="E358" s="1" t="n">
        <x:v>2962</x:v>
      </x:c>
      <x:c r="F358" s="6" t="n">
        <x:v>14.49</x:v>
      </x:c>
      <x:c r="G358" s="1" t="str">
        <x:v>None</x:v>
      </x:c>
      <x:c r="H358" s="5" t="n">
        <x:v>46290</x:v>
      </x:c>
      <x:c r="I358" s="5"/>
      <x:c r="J358" s="10" t="n">
        <x:f>E358*F358</x:f>
        <x:v>42919.38</x:v>
      </x:c>
    </x:row>
    <x:row r="359">
      <x:c r="A359" s="1" t="str">
        <x:v>INV370</x:v>
      </x:c>
      <x:c r="B359" s="1" t="str">
        <x:v>PO0370</x:v>
      </x:c>
      <x:c r="C359" s="5" t="n">
        <x:v>46142</x:v>
      </x:c>
      <x:c r="D359" s="5" t="n">
        <x:v>46202</x:v>
      </x:c>
      <x:c r="E359" s="1" t="n">
        <x:v>2008</x:v>
      </x:c>
      <x:c r="F359" s="6" t="n">
        <x:v>7.57</x:v>
      </x:c>
      <x:c r="G359" s="1" t="str">
        <x:v>Quantity mismatch</x:v>
      </x:c>
      <x:c r="H359" s="5" t="n">
        <x:v>46149</x:v>
      </x:c>
      <x:c r="I359" s="5" t="n">
        <x:v>46199</x:v>
      </x:c>
      <x:c r="J359" s="10" t="n">
        <x:f>E359*F359</x:f>
        <x:v>15200.560000000001</x:v>
      </x:c>
    </x:row>
    <x:row r="360">
      <x:c r="A360" s="1" t="str">
        <x:v>INV371</x:v>
      </x:c>
      <x:c r="B360" s="1" t="str">
        <x:v>PO0371</x:v>
      </x:c>
      <x:c r="C360" s="5" t="n">
        <x:v>46159</x:v>
      </x:c>
      <x:c r="D360" s="5" t="n">
        <x:v>46189</x:v>
      </x:c>
      <x:c r="E360" s="1" t="n">
        <x:v>2752</x:v>
      </x:c>
      <x:c r="F360" s="6" t="n">
        <x:v>15.54</x:v>
      </x:c>
      <x:c r="G360" s="1" t="str">
        <x:v>None</x:v>
      </x:c>
      <x:c r="H360" s="5" t="n">
        <x:v>46159</x:v>
      </x:c>
      <x:c r="I360" s="5" t="n">
        <x:v>46190</x:v>
      </x:c>
      <x:c r="J360" s="10" t="n">
        <x:f>E360*F360</x:f>
        <x:v>42766.079999999994</x:v>
      </x:c>
    </x:row>
    <x:row r="361">
      <x:c r="A361" s="1" t="str">
        <x:v>INV372</x:v>
      </x:c>
      <x:c r="B361" s="1" t="str">
        <x:v>PO0372</x:v>
      </x:c>
      <x:c r="C361" s="5" t="n">
        <x:v>46202</x:v>
      </x:c>
      <x:c r="D361" s="5" t="n">
        <x:v>46262</x:v>
      </x:c>
      <x:c r="E361" s="1" t="n">
        <x:v>1651</x:v>
      </x:c>
      <x:c r="F361" s="6" t="n">
        <x:v>16.68</x:v>
      </x:c>
      <x:c r="G361" s="1" t="str">
        <x:v>Quantity mismatch</x:v>
      </x:c>
      <x:c r="H361" s="5" t="n">
        <x:v>46225</x:v>
      </x:c>
      <x:c r="I361" s="5" t="n">
        <x:v>46268</x:v>
      </x:c>
      <x:c r="J361" s="10" t="n">
        <x:f>E361*F361</x:f>
        <x:v>27538.68</x:v>
      </x:c>
    </x:row>
    <x:row r="362">
      <x:c r="A362" s="1" t="str">
        <x:v>INV373</x:v>
      </x:c>
      <x:c r="B362" s="1" t="str">
        <x:v>PO0373</x:v>
      </x:c>
      <x:c r="C362" s="5" t="n">
        <x:v>46090</x:v>
      </x:c>
      <x:c r="D362" s="5" t="n">
        <x:v>46135</x:v>
      </x:c>
      <x:c r="E362" s="1" t="n">
        <x:v>2808</x:v>
      </x:c>
      <x:c r="F362" s="6" t="n">
        <x:v>22.22</x:v>
      </x:c>
      <x:c r="G362" s="1" t="str">
        <x:v>None</x:v>
      </x:c>
      <x:c r="H362" s="5" t="n">
        <x:v>46090</x:v>
      </x:c>
      <x:c r="I362" s="5" t="n">
        <x:v>46142</x:v>
      </x:c>
      <x:c r="J362" s="10" t="n">
        <x:f>E362*F362</x:f>
        <x:v>62393.759999999995</x:v>
      </x:c>
    </x:row>
    <x:row r="363">
      <x:c r="A363" s="1" t="str">
        <x:v>INV374</x:v>
      </x:c>
      <x:c r="B363" s="1" t="str">
        <x:v>PO0374</x:v>
      </x:c>
      <x:c r="C363" s="5" t="n">
        <x:v>46054</x:v>
      </x:c>
      <x:c r="D363" s="5" t="n">
        <x:v>46099</x:v>
      </x:c>
      <x:c r="E363" s="1" t="n">
        <x:v>4491</x:v>
      </x:c>
      <x:c r="F363" s="6" t="n">
        <x:v>24.07</x:v>
      </x:c>
      <x:c r="G363" s="1" t="str">
        <x:v>None</x:v>
      </x:c>
      <x:c r="H363" s="5" t="n">
        <x:v>46054</x:v>
      </x:c>
      <x:c r="I363" s="5" t="n">
        <x:v>46101</x:v>
      </x:c>
      <x:c r="J363" s="10" t="n">
        <x:f>E363*F363</x:f>
        <x:v>108098.37</x:v>
      </x:c>
    </x:row>
    <x:row r="364">
      <x:c r="A364" s="1" t="str">
        <x:v>INV375</x:v>
      </x:c>
      <x:c r="B364" s="1" t="str">
        <x:v>PO0375</x:v>
      </x:c>
      <x:c r="C364" s="5" t="n">
        <x:v>46194</x:v>
      </x:c>
      <x:c r="D364" s="5" t="n">
        <x:v>46224</x:v>
      </x:c>
      <x:c r="E364" s="1" t="n">
        <x:v>2602</x:v>
      </x:c>
      <x:c r="F364" s="6" t="n">
        <x:v>2.82</x:v>
      </x:c>
      <x:c r="G364" s="1" t="str">
        <x:v>None</x:v>
      </x:c>
      <x:c r="H364" s="5" t="n">
        <x:v>46194</x:v>
      </x:c>
      <x:c r="I364" s="5" t="n">
        <x:v>46221</x:v>
      </x:c>
      <x:c r="J364" s="10" t="n">
        <x:f>E364*F364</x:f>
        <x:v>7337.639999999999</x:v>
      </x:c>
    </x:row>
    <x:row r="365">
      <x:c r="A365" s="1" t="str">
        <x:v>INV376</x:v>
      </x:c>
      <x:c r="B365" s="1" t="str">
        <x:v>PO0376</x:v>
      </x:c>
      <x:c r="C365" s="5" t="n">
        <x:v>46190</x:v>
      </x:c>
      <x:c r="D365" s="5" t="n">
        <x:v>46220</x:v>
      </x:c>
      <x:c r="E365" s="1" t="n">
        <x:v>383</x:v>
      </x:c>
      <x:c r="F365" s="6" t="n">
        <x:v>3.98</x:v>
      </x:c>
      <x:c r="G365" s="1" t="str">
        <x:v>None</x:v>
      </x:c>
      <x:c r="H365" s="5" t="n">
        <x:v>46190</x:v>
      </x:c>
      <x:c r="I365" s="5" t="n">
        <x:v>46219</x:v>
      </x:c>
      <x:c r="J365" s="10" t="n">
        <x:f>E365*F365</x:f>
        <x:v>1524.34</x:v>
      </x:c>
    </x:row>
    <x:row r="366">
      <x:c r="A366" s="1" t="str">
        <x:v>INV377</x:v>
      </x:c>
      <x:c r="B366" s="1" t="str">
        <x:v>PO0377</x:v>
      </x:c>
      <x:c r="C366" s="5" t="n">
        <x:v>46293</x:v>
      </x:c>
      <x:c r="D366" s="5" t="n">
        <x:v>46353</x:v>
      </x:c>
      <x:c r="E366" s="1" t="n">
        <x:v>587</x:v>
      </x:c>
      <x:c r="F366" s="6" t="n">
        <x:v>12.7</x:v>
      </x:c>
      <x:c r="G366" s="1" t="str">
        <x:v>None</x:v>
      </x:c>
      <x:c r="H366" s="5" t="n">
        <x:v>46293</x:v>
      </x:c>
      <x:c r="I366" s="5"/>
      <x:c r="J366" s="10" t="n">
        <x:f>E366*F366</x:f>
        <x:v>7454.9</x:v>
      </x:c>
    </x:row>
    <x:row r="367">
      <x:c r="A367" s="1" t="str">
        <x:v>INV378</x:v>
      </x:c>
      <x:c r="B367" s="1" t="str">
        <x:v>PO0378</x:v>
      </x:c>
      <x:c r="C367" s="5" t="n">
        <x:v>46213</x:v>
      </x:c>
      <x:c r="D367" s="5" t="n">
        <x:v>46258</x:v>
      </x:c>
      <x:c r="E367" s="1" t="n">
        <x:v>3138</x:v>
      </x:c>
      <x:c r="F367" s="6" t="n">
        <x:v>21.83</x:v>
      </x:c>
      <x:c r="G367" s="1" t="str">
        <x:v>None</x:v>
      </x:c>
      <x:c r="H367" s="5" t="n">
        <x:v>46213</x:v>
      </x:c>
      <x:c r="I367" s="5" t="n">
        <x:v>46255</x:v>
      </x:c>
      <x:c r="J367" s="10" t="n">
        <x:f>E367*F367</x:f>
        <x:v>68502.54</x:v>
      </x:c>
    </x:row>
    <x:row r="368">
      <x:c r="A368" s="1" t="str">
        <x:v>INV380</x:v>
      </x:c>
      <x:c r="B368" s="1" t="str">
        <x:v>PO0380</x:v>
      </x:c>
      <x:c r="C368" s="5" t="n">
        <x:v>46080</x:v>
      </x:c>
      <x:c r="D368" s="5" t="n">
        <x:v>46110</x:v>
      </x:c>
      <x:c r="E368" s="1" t="n">
        <x:v>257</x:v>
      </x:c>
      <x:c r="F368" s="6" t="n">
        <x:v>20.27</x:v>
      </x:c>
      <x:c r="G368" s="1" t="str">
        <x:v>None</x:v>
      </x:c>
      <x:c r="H368" s="5" t="n">
        <x:v>46080</x:v>
      </x:c>
      <x:c r="I368" s="5" t="n">
        <x:v>46111</x:v>
      </x:c>
      <x:c r="J368" s="10" t="n">
        <x:f>E368*F368</x:f>
        <x:v>5209.39</x:v>
      </x:c>
    </x:row>
    <x:row r="369">
      <x:c r="A369" s="1" t="str">
        <x:v>INV381</x:v>
      </x:c>
      <x:c r="B369" s="1" t="str">
        <x:v>PO0381</x:v>
      </x:c>
      <x:c r="C369" s="5" t="n">
        <x:v>46163</x:v>
      </x:c>
      <x:c r="D369" s="5" t="n">
        <x:v>46208</x:v>
      </x:c>
      <x:c r="E369" s="1" t="n">
        <x:v>3162</x:v>
      </x:c>
      <x:c r="F369" s="6" t="n">
        <x:v>10.28</x:v>
      </x:c>
      <x:c r="G369" s="1" t="str">
        <x:v>Quantity mismatch</x:v>
      </x:c>
      <x:c r="H369" s="5" t="n">
        <x:v>46166</x:v>
      </x:c>
      <x:c r="I369" s="5" t="n">
        <x:v>46208</x:v>
      </x:c>
      <x:c r="J369" s="10" t="n">
        <x:f>E369*F369</x:f>
        <x:v>32505.359999999997</x:v>
      </x:c>
    </x:row>
    <x:row r="370">
      <x:c r="A370" s="1" t="str">
        <x:v>INV382</x:v>
      </x:c>
      <x:c r="B370" s="1" t="str">
        <x:v>PO0382</x:v>
      </x:c>
      <x:c r="C370" s="5" t="n">
        <x:v>46198</x:v>
      </x:c>
      <x:c r="D370" s="5" t="n">
        <x:v>46258</x:v>
      </x:c>
      <x:c r="E370" s="1" t="n">
        <x:v>2841</x:v>
      </x:c>
      <x:c r="F370" s="6" t="n">
        <x:v>5.17</x:v>
      </x:c>
      <x:c r="G370" s="1" t="str">
        <x:v>Price mismatch</x:v>
      </x:c>
      <x:c r="H370" s="5" t="n">
        <x:v>46222</x:v>
      </x:c>
      <x:c r="I370" s="5" t="n">
        <x:v>46256</x:v>
      </x:c>
      <x:c r="J370" s="10" t="n">
        <x:f>E370*F370</x:f>
        <x:v>14687.97</x:v>
      </x:c>
    </x:row>
    <x:row r="371">
      <x:c r="A371" s="1" t="str">
        <x:v>INV383</x:v>
      </x:c>
      <x:c r="B371" s="1" t="str">
        <x:v>PO0383</x:v>
      </x:c>
      <x:c r="C371" s="5" t="n">
        <x:v>46276</x:v>
      </x:c>
      <x:c r="D371" s="5" t="n">
        <x:v>46336</x:v>
      </x:c>
      <x:c r="E371" s="1" t="n">
        <x:v>3683</x:v>
      </x:c>
      <x:c r="F371" s="6" t="n">
        <x:v>19.42</x:v>
      </x:c>
      <x:c r="G371" s="1" t="str">
        <x:v>None</x:v>
      </x:c>
      <x:c r="H371" s="5" t="n">
        <x:v>46276</x:v>
      </x:c>
      <x:c r="I371" s="5"/>
      <x:c r="J371" s="10" t="n">
        <x:f>E371*F371</x:f>
        <x:v>71523.86</x:v>
      </x:c>
    </x:row>
    <x:row r="372">
      <x:c r="A372" s="1" t="str">
        <x:v>INV384</x:v>
      </x:c>
      <x:c r="B372" s="1" t="str">
        <x:v>PO0384</x:v>
      </x:c>
      <x:c r="C372" s="5" t="n">
        <x:v>46217</x:v>
      </x:c>
      <x:c r="D372" s="5" t="n">
        <x:v>46247</x:v>
      </x:c>
      <x:c r="E372" s="1" t="n">
        <x:v>2973</x:v>
      </x:c>
      <x:c r="F372" s="6" t="n">
        <x:v>18.62</x:v>
      </x:c>
      <x:c r="G372" s="1" t="str">
        <x:v>None</x:v>
      </x:c>
      <x:c r="H372" s="5" t="n">
        <x:v>46217</x:v>
      </x:c>
      <x:c r="I372" s="5" t="n">
        <x:v>46251</x:v>
      </x:c>
      <x:c r="J372" s="10" t="n">
        <x:f>E372*F372</x:f>
        <x:v>55357.26</x:v>
      </x:c>
    </x:row>
    <x:row r="373">
      <x:c r="A373" s="1" t="str">
        <x:v>INV385</x:v>
      </x:c>
      <x:c r="B373" s="1" t="str">
        <x:v>PO0385</x:v>
      </x:c>
      <x:c r="C373" s="5" t="n">
        <x:v>46116</x:v>
      </x:c>
      <x:c r="D373" s="5" t="n">
        <x:v>46161</x:v>
      </x:c>
      <x:c r="E373" s="1" t="n">
        <x:v>853</x:v>
      </x:c>
      <x:c r="F373" s="6" t="n">
        <x:v>11.86</x:v>
      </x:c>
      <x:c r="G373" s="1" t="str">
        <x:v>None</x:v>
      </x:c>
      <x:c r="H373" s="5" t="n">
        <x:v>46116</x:v>
      </x:c>
      <x:c r="I373" s="5" t="n">
        <x:v>46167</x:v>
      </x:c>
      <x:c r="J373" s="10" t="n">
        <x:f>E373*F373</x:f>
        <x:v>10116.58</x:v>
      </x:c>
    </x:row>
    <x:row r="374">
      <x:c r="A374" s="1" t="str">
        <x:v>INV386</x:v>
      </x:c>
      <x:c r="B374" s="1" t="str">
        <x:v>PO0386</x:v>
      </x:c>
      <x:c r="C374" s="5" t="n">
        <x:v>46159</x:v>
      </x:c>
      <x:c r="D374" s="5" t="n">
        <x:v>46189</x:v>
      </x:c>
      <x:c r="E374" s="1" t="n">
        <x:v>2505</x:v>
      </x:c>
      <x:c r="F374" s="6" t="n">
        <x:v>17.92</x:v>
      </x:c>
      <x:c r="G374" s="1" t="str">
        <x:v>None</x:v>
      </x:c>
      <x:c r="H374" s="5" t="n">
        <x:v>46159</x:v>
      </x:c>
      <x:c r="I374" s="5" t="n">
        <x:v>46197</x:v>
      </x:c>
      <x:c r="J374" s="10" t="n">
        <x:f>E374*F374</x:f>
        <x:v>44889.600000000006</x:v>
      </x:c>
    </x:row>
    <x:row r="375">
      <x:c r="A375" s="1" t="str">
        <x:v>INV387</x:v>
      </x:c>
      <x:c r="B375" s="1" t="str">
        <x:v>PO0387</x:v>
      </x:c>
      <x:c r="C375" s="5" t="n">
        <x:v>46229</x:v>
      </x:c>
      <x:c r="D375" s="5" t="n">
        <x:v>46274</x:v>
      </x:c>
      <x:c r="E375" s="1" t="n">
        <x:v>1670</x:v>
      </x:c>
      <x:c r="F375" s="6" t="n">
        <x:v>20.8</x:v>
      </x:c>
      <x:c r="G375" s="1" t="str">
        <x:v>None</x:v>
      </x:c>
      <x:c r="H375" s="5" t="n">
        <x:v>46229</x:v>
      </x:c>
      <x:c r="I375" s="5" t="n">
        <x:v>46274</x:v>
      </x:c>
      <x:c r="J375" s="10" t="n">
        <x:f>E375*F375</x:f>
        <x:v>34736</x:v>
      </x:c>
    </x:row>
    <x:row r="376">
      <x:c r="A376" s="1" t="str">
        <x:v>INV388</x:v>
      </x:c>
      <x:c r="B376" s="1" t="str">
        <x:v>PO0388</x:v>
      </x:c>
      <x:c r="C376" s="5" t="n">
        <x:v>46289</x:v>
      </x:c>
      <x:c r="D376" s="5" t="n">
        <x:v>46319</x:v>
      </x:c>
      <x:c r="E376" s="1" t="n">
        <x:v>3556</x:v>
      </x:c>
      <x:c r="F376" s="6" t="n">
        <x:v>3.4</x:v>
      </x:c>
      <x:c r="G376" s="1" t="str">
        <x:v>None</x:v>
      </x:c>
      <x:c r="H376" s="5" t="n">
        <x:v>46289</x:v>
      </x:c>
      <x:c r="I376" s="5"/>
      <x:c r="J376" s="10" t="n">
        <x:f>E376*F376</x:f>
        <x:v>12090.4</x:v>
      </x:c>
    </x:row>
    <x:row r="377">
      <x:c r="A377" s="1" t="str">
        <x:v>INV389</x:v>
      </x:c>
      <x:c r="B377" s="1" t="str">
        <x:v>PO0389</x:v>
      </x:c>
      <x:c r="C377" s="5" t="n">
        <x:v>46157</x:v>
      </x:c>
      <x:c r="D377" s="5" t="n">
        <x:v>46187</x:v>
      </x:c>
      <x:c r="E377" s="1" t="n">
        <x:v>600</x:v>
      </x:c>
      <x:c r="F377" s="6" t="n">
        <x:v>15.75</x:v>
      </x:c>
      <x:c r="G377" s="1" t="str">
        <x:v>None</x:v>
      </x:c>
      <x:c r="H377" s="5" t="n">
        <x:v>46157</x:v>
      </x:c>
      <x:c r="I377" s="5" t="n">
        <x:v>46189</x:v>
      </x:c>
      <x:c r="J377" s="10" t="n">
        <x:f>E377*F377</x:f>
        <x:v>9450</x:v>
      </x:c>
    </x:row>
    <x:row r="378">
      <x:c r="A378" s="1" t="str">
        <x:v>INV390</x:v>
      </x:c>
      <x:c r="B378" s="1" t="str">
        <x:v>PO0390</x:v>
      </x:c>
      <x:c r="C378" s="5" t="n">
        <x:v>46248</x:v>
      </x:c>
      <x:c r="D378" s="5" t="n">
        <x:v>46278</x:v>
      </x:c>
      <x:c r="E378" s="1" t="n">
        <x:v>259</x:v>
      </x:c>
      <x:c r="F378" s="6" t="n">
        <x:v>23.84</x:v>
      </x:c>
      <x:c r="G378" s="1" t="str">
        <x:v>None</x:v>
      </x:c>
      <x:c r="H378" s="5" t="n">
        <x:v>46248</x:v>
      </x:c>
      <x:c r="I378" s="5" t="n">
        <x:v>46281</x:v>
      </x:c>
      <x:c r="J378" s="10" t="n">
        <x:f>E378*F378</x:f>
        <x:v>6174.56</x:v>
      </x:c>
    </x:row>
    <x:row r="379">
      <x:c r="A379" s="1" t="str">
        <x:v>INV391</x:v>
      </x:c>
      <x:c r="B379" s="1" t="str">
        <x:v>PO0391</x:v>
      </x:c>
      <x:c r="C379" s="5" t="n">
        <x:v>46277</x:v>
      </x:c>
      <x:c r="D379" s="5" t="n">
        <x:v>46307</x:v>
      </x:c>
      <x:c r="E379" s="1" t="n">
        <x:v>1221</x:v>
      </x:c>
      <x:c r="F379" s="6" t="n">
        <x:v>11.25</x:v>
      </x:c>
      <x:c r="G379" s="1" t="str">
        <x:v>None</x:v>
      </x:c>
      <x:c r="H379" s="5" t="n">
        <x:v>46277</x:v>
      </x:c>
      <x:c r="I379" s="5"/>
      <x:c r="J379" s="10" t="n">
        <x:f>E379*F379</x:f>
        <x:v>13736.25</x:v>
      </x:c>
    </x:row>
    <x:row r="380">
      <x:c r="A380" s="1" t="str">
        <x:v>INV392</x:v>
      </x:c>
      <x:c r="B380" s="1" t="str">
        <x:v>PO0392</x:v>
      </x:c>
      <x:c r="C380" s="5" t="n">
        <x:v>46284</x:v>
      </x:c>
      <x:c r="D380" s="5" t="n">
        <x:v>46329</x:v>
      </x:c>
      <x:c r="E380" s="1" t="n">
        <x:v>2640</x:v>
      </x:c>
      <x:c r="F380" s="6" t="n">
        <x:v>19.72</x:v>
      </x:c>
      <x:c r="G380" s="1" t="str">
        <x:v>Missing documentation</x:v>
      </x:c>
      <x:c r="H380" s="5"/>
      <x:c r="I380" s="5"/>
      <x:c r="J380" s="10" t="n">
        <x:f>E380*F380</x:f>
        <x:v>52060.799999999996</x:v>
      </x:c>
    </x:row>
    <x:row r="381">
      <x:c r="A381" s="1" t="str">
        <x:v>INV393</x:v>
      </x:c>
      <x:c r="B381" s="1" t="str">
        <x:v>PO0393</x:v>
      </x:c>
      <x:c r="C381" s="5" t="n">
        <x:v>46180</x:v>
      </x:c>
      <x:c r="D381" s="5" t="n">
        <x:v>46210</x:v>
      </x:c>
      <x:c r="E381" s="1" t="n">
        <x:v>2474</x:v>
      </x:c>
      <x:c r="F381" s="6" t="n">
        <x:v>23.55</x:v>
      </x:c>
      <x:c r="G381" s="1" t="str">
        <x:v>None</x:v>
      </x:c>
      <x:c r="H381" s="5" t="n">
        <x:v>46180</x:v>
      </x:c>
      <x:c r="I381" s="5" t="n">
        <x:v>46210</x:v>
      </x:c>
      <x:c r="J381" s="10" t="n">
        <x:f>E381*F381</x:f>
        <x:v>58262.700000000004</x:v>
      </x:c>
    </x:row>
    <x:row r="382">
      <x:c r="A382" s="1" t="str">
        <x:v>INV394</x:v>
      </x:c>
      <x:c r="B382" s="1" t="str">
        <x:v>PO0394</x:v>
      </x:c>
      <x:c r="C382" s="5" t="n">
        <x:v>46086</x:v>
      </x:c>
      <x:c r="D382" s="5" t="n">
        <x:v>46116</x:v>
      </x:c>
      <x:c r="E382" s="1" t="n">
        <x:v>663</x:v>
      </x:c>
      <x:c r="F382" s="6" t="n">
        <x:v>24.31</x:v>
      </x:c>
      <x:c r="G382" s="1" t="str">
        <x:v>None</x:v>
      </x:c>
      <x:c r="H382" s="5" t="n">
        <x:v>46086</x:v>
      </x:c>
      <x:c r="I382" s="5" t="n">
        <x:v>46114</x:v>
      </x:c>
      <x:c r="J382" s="10" t="n">
        <x:f>E382*F382</x:f>
        <x:v>16117.529999999999</x:v>
      </x:c>
    </x:row>
    <x:row r="383">
      <x:c r="A383" s="1" t="str">
        <x:v>INV395</x:v>
      </x:c>
      <x:c r="B383" s="1" t="str">
        <x:v>PO0395</x:v>
      </x:c>
      <x:c r="C383" s="5" t="n">
        <x:v>46230</x:v>
      </x:c>
      <x:c r="D383" s="5" t="n">
        <x:v>46260</x:v>
      </x:c>
      <x:c r="E383" s="1" t="n">
        <x:v>1752</x:v>
      </x:c>
      <x:c r="F383" s="6" t="n">
        <x:v>22.52</x:v>
      </x:c>
      <x:c r="G383" s="1" t="str">
        <x:v>None</x:v>
      </x:c>
      <x:c r="H383" s="5" t="n">
        <x:v>46230</x:v>
      </x:c>
      <x:c r="I383" s="5" t="n">
        <x:v>46266</x:v>
      </x:c>
      <x:c r="J383" s="10" t="n">
        <x:f>E383*F383</x:f>
        <x:v>39455.04</x:v>
      </x:c>
    </x:row>
    <x:row r="384">
      <x:c r="A384" s="1" t="str">
        <x:v>INV396</x:v>
      </x:c>
      <x:c r="B384" s="1" t="str">
        <x:v>PO0396</x:v>
      </x:c>
      <x:c r="C384" s="5" t="n">
        <x:v>46278</x:v>
      </x:c>
      <x:c r="D384" s="5" t="n">
        <x:v>46308</x:v>
      </x:c>
      <x:c r="E384" s="1" t="n">
        <x:v>491</x:v>
      </x:c>
      <x:c r="F384" s="6" t="n">
        <x:v>18.79</x:v>
      </x:c>
      <x:c r="G384" s="1" t="str">
        <x:v>None</x:v>
      </x:c>
      <x:c r="H384" s="5" t="n">
        <x:v>46278</x:v>
      </x:c>
      <x:c r="I384" s="5"/>
      <x:c r="J384" s="10" t="n">
        <x:f>E384*F384</x:f>
        <x:v>9225.89</x:v>
      </x:c>
    </x:row>
    <x:row r="385">
      <x:c r="A385" s="1" t="str">
        <x:v>INV397</x:v>
      </x:c>
      <x:c r="B385" s="1" t="str">
        <x:v>PO0397</x:v>
      </x:c>
      <x:c r="C385" s="5" t="n">
        <x:v>46184</x:v>
      </x:c>
      <x:c r="D385" s="5" t="n">
        <x:v>46229</x:v>
      </x:c>
      <x:c r="E385" s="1" t="n">
        <x:v>970</x:v>
      </x:c>
      <x:c r="F385" s="6" t="n">
        <x:v>23.25</x:v>
      </x:c>
      <x:c r="G385" s="1" t="str">
        <x:v>Quantity mismatch</x:v>
      </x:c>
      <x:c r="H385" s="5" t="n">
        <x:v>46191</x:v>
      </x:c>
      <x:c r="I385" s="5" t="n">
        <x:v>46231</x:v>
      </x:c>
      <x:c r="J385" s="10" t="n">
        <x:f>E385*F385</x:f>
        <x:v>22552.5</x:v>
      </x:c>
    </x:row>
    <x:row r="386">
      <x:c r="A386" s="1" t="str">
        <x:v>INV398</x:v>
      </x:c>
      <x:c r="B386" s="1" t="str">
        <x:v>PO0398</x:v>
      </x:c>
      <x:c r="C386" s="5" t="n">
        <x:v>46288</x:v>
      </x:c>
      <x:c r="D386" s="5" t="n">
        <x:v>46318</x:v>
      </x:c>
      <x:c r="E386" s="1" t="n">
        <x:v>470</x:v>
      </x:c>
      <x:c r="F386" s="6" t="n">
        <x:v>11.61</x:v>
      </x:c>
      <x:c r="G386" s="1" t="str">
        <x:v>None</x:v>
      </x:c>
      <x:c r="H386" s="5" t="n">
        <x:v>46288</x:v>
      </x:c>
      <x:c r="I386" s="5"/>
      <x:c r="J386" s="10" t="n">
        <x:f>E386*F386</x:f>
        <x:v>5456.7</x:v>
      </x:c>
    </x:row>
    <x:row r="387">
      <x:c r="A387" s="1" t="str">
        <x:v>INV399</x:v>
      </x:c>
      <x:c r="B387" s="1" t="str">
        <x:v>PO0399</x:v>
      </x:c>
      <x:c r="C387" s="5" t="n">
        <x:v>46254</x:v>
      </x:c>
      <x:c r="D387" s="5" t="n">
        <x:v>46299</x:v>
      </x:c>
      <x:c r="E387" s="1" t="n">
        <x:v>3129</x:v>
      </x:c>
      <x:c r="F387" s="6" t="n">
        <x:v>8.83</x:v>
      </x:c>
      <x:c r="G387" s="1" t="str">
        <x:v>None</x:v>
      </x:c>
      <x:c r="H387" s="5" t="n">
        <x:v>46254</x:v>
      </x:c>
      <x:c r="I387" s="5"/>
      <x:c r="J387" s="10" t="n">
        <x:f>E387*F387</x:f>
        <x:v>27629.07</x:v>
      </x:c>
    </x:row>
    <x:row r="388">
      <x:c r="A388" s="1" t="str">
        <x:v>INV401</x:v>
      </x:c>
      <x:c r="B388" s="1" t="str">
        <x:v>PO0401</x:v>
      </x:c>
      <x:c r="C388" s="5" t="n">
        <x:v>46111</x:v>
      </x:c>
      <x:c r="D388" s="5" t="n">
        <x:v>46171</x:v>
      </x:c>
      <x:c r="E388" s="1" t="n">
        <x:v>4948</x:v>
      </x:c>
      <x:c r="F388" s="6" t="n">
        <x:v>21.38</x:v>
      </x:c>
      <x:c r="G388" s="1" t="str">
        <x:v>None</x:v>
      </x:c>
      <x:c r="H388" s="5" t="n">
        <x:v>46111</x:v>
      </x:c>
      <x:c r="I388" s="5" t="n">
        <x:v>46172</x:v>
      </x:c>
      <x:c r="J388" s="10" t="n">
        <x:f>E388*F388</x:f>
        <x:v>105788.23999999999</x:v>
      </x:c>
    </x:row>
    <x:row r="389">
      <x:c r="A389" s="1" t="str">
        <x:v>INV402</x:v>
      </x:c>
      <x:c r="B389" s="1" t="str">
        <x:v>PO0402</x:v>
      </x:c>
      <x:c r="C389" s="5" t="n">
        <x:v>46137</x:v>
      </x:c>
      <x:c r="D389" s="5" t="n">
        <x:v>46167</x:v>
      </x:c>
      <x:c r="E389" s="1" t="n">
        <x:v>4857</x:v>
      </x:c>
      <x:c r="F389" s="6" t="n">
        <x:v>22.56</x:v>
      </x:c>
      <x:c r="G389" s="1" t="str">
        <x:v>None</x:v>
      </x:c>
      <x:c r="H389" s="5" t="n">
        <x:v>46137</x:v>
      </x:c>
      <x:c r="I389" s="5" t="n">
        <x:v>46175</x:v>
      </x:c>
      <x:c r="J389" s="10" t="n">
        <x:f>E389*F389</x:f>
        <x:v>109573.92</x:v>
      </x:c>
    </x:row>
    <x:row r="390">
      <x:c r="A390" s="1" t="str">
        <x:v>INV403</x:v>
      </x:c>
      <x:c r="B390" s="1" t="str">
        <x:v>PO0403</x:v>
      </x:c>
      <x:c r="C390" s="5" t="n">
        <x:v>46180</x:v>
      </x:c>
      <x:c r="D390" s="5" t="n">
        <x:v>46210</x:v>
      </x:c>
      <x:c r="E390" s="1" t="n">
        <x:v>282</x:v>
      </x:c>
      <x:c r="F390" s="6" t="n">
        <x:v>17.75</x:v>
      </x:c>
      <x:c r="G390" s="1" t="str">
        <x:v>None</x:v>
      </x:c>
      <x:c r="H390" s="5" t="n">
        <x:v>46180</x:v>
      </x:c>
      <x:c r="I390" s="5" t="n">
        <x:v>46216</x:v>
      </x:c>
      <x:c r="J390" s="10" t="n">
        <x:f>E390*F390</x:f>
        <x:v>5005.5</x:v>
      </x:c>
    </x:row>
    <x:row r="391">
      <x:c r="A391" s="1" t="str">
        <x:v>INV404</x:v>
      </x:c>
      <x:c r="B391" s="1" t="str">
        <x:v>PO0404</x:v>
      </x:c>
      <x:c r="C391" s="5" t="n">
        <x:v>46278</x:v>
      </x:c>
      <x:c r="D391" s="5" t="n">
        <x:v>46323</x:v>
      </x:c>
      <x:c r="E391" s="1" t="n">
        <x:v>2753</x:v>
      </x:c>
      <x:c r="F391" s="6" t="n">
        <x:v>11.93</x:v>
      </x:c>
      <x:c r="G391" s="1" t="str">
        <x:v>Price mismatch</x:v>
      </x:c>
      <x:c r="H391" s="5" t="n">
        <x:v>46288</x:v>
      </x:c>
      <x:c r="I391" s="5"/>
      <x:c r="J391" s="10" t="n">
        <x:f>E391*F391</x:f>
        <x:v>32843.29</x:v>
      </x:c>
    </x:row>
    <x:row r="392">
      <x:c r="A392" s="1" t="str">
        <x:v>INV405</x:v>
      </x:c>
      <x:c r="B392" s="1" t="str">
        <x:v>PO0405</x:v>
      </x:c>
      <x:c r="C392" s="5" t="n">
        <x:v>46213</x:v>
      </x:c>
      <x:c r="D392" s="5" t="n">
        <x:v>46258</x:v>
      </x:c>
      <x:c r="E392" s="1" t="n">
        <x:v>3189</x:v>
      </x:c>
      <x:c r="F392" s="6" t="n">
        <x:v>14.43</x:v>
      </x:c>
      <x:c r="G392" s="1" t="str">
        <x:v>None</x:v>
      </x:c>
      <x:c r="H392" s="5" t="n">
        <x:v>46213</x:v>
      </x:c>
      <x:c r="I392" s="5" t="n">
        <x:v>46264</x:v>
      </x:c>
      <x:c r="J392" s="10" t="n">
        <x:f>E392*F392</x:f>
        <x:v>46017.27</x:v>
      </x:c>
    </x:row>
    <x:row r="393">
      <x:c r="A393" s="1" t="str">
        <x:v>INV406</x:v>
      </x:c>
      <x:c r="B393" s="1" t="str">
        <x:v>PO0406</x:v>
      </x:c>
      <x:c r="C393" s="5" t="n">
        <x:v>46141</x:v>
      </x:c>
      <x:c r="D393" s="5" t="n">
        <x:v>46201</x:v>
      </x:c>
      <x:c r="E393" s="1" t="n">
        <x:v>698</x:v>
      </x:c>
      <x:c r="F393" s="6" t="n">
        <x:v>11.85</x:v>
      </x:c>
      <x:c r="G393" s="1" t="str">
        <x:v>None</x:v>
      </x:c>
      <x:c r="H393" s="5" t="n">
        <x:v>46141</x:v>
      </x:c>
      <x:c r="I393" s="5" t="n">
        <x:v>46209</x:v>
      </x:c>
      <x:c r="J393" s="10" t="n">
        <x:f>E393*F393</x:f>
        <x:v>8271.3</x:v>
      </x:c>
    </x:row>
    <x:row r="394">
      <x:c r="A394" s="1" t="str">
        <x:v>INV407</x:v>
      </x:c>
      <x:c r="B394" s="1" t="str">
        <x:v>PO0407</x:v>
      </x:c>
      <x:c r="C394" s="5" t="n">
        <x:v>46130</x:v>
      </x:c>
      <x:c r="D394" s="5" t="n">
        <x:v>46160</x:v>
      </x:c>
      <x:c r="E394" s="1" t="n">
        <x:v>4184</x:v>
      </x:c>
      <x:c r="F394" s="6" t="n">
        <x:v>11.33</x:v>
      </x:c>
      <x:c r="G394" s="1" t="str">
        <x:v>Quantity mismatch</x:v>
      </x:c>
      <x:c r="H394" s="5" t="n">
        <x:v>46143</x:v>
      </x:c>
      <x:c r="I394" s="5" t="n">
        <x:v>46160</x:v>
      </x:c>
      <x:c r="J394" s="10" t="n">
        <x:f>E394*F394</x:f>
        <x:v>47404.72</x:v>
      </x:c>
    </x:row>
    <x:row r="395">
      <x:c r="A395" s="1" t="str">
        <x:v>INV408</x:v>
      </x:c>
      <x:c r="B395" s="1" t="str">
        <x:v>PO0408</x:v>
      </x:c>
      <x:c r="C395" s="5" t="n">
        <x:v>46139</x:v>
      </x:c>
      <x:c r="D395" s="5" t="n">
        <x:v>46184</x:v>
      </x:c>
      <x:c r="E395" s="1" t="n">
        <x:v>3669</x:v>
      </x:c>
      <x:c r="F395" s="6" t="n">
        <x:v>15.46</x:v>
      </x:c>
      <x:c r="G395" s="1" t="str">
        <x:v>None</x:v>
      </x:c>
      <x:c r="H395" s="5" t="n">
        <x:v>46139</x:v>
      </x:c>
      <x:c r="I395" s="5" t="n">
        <x:v>46183</x:v>
      </x:c>
      <x:c r="J395" s="10" t="n">
        <x:f>E395*F395</x:f>
        <x:v>56722.740000000005</x:v>
      </x:c>
    </x:row>
    <x:row r="396">
      <x:c r="A396" s="1" t="str">
        <x:v>INV409</x:v>
      </x:c>
      <x:c r="B396" s="1" t="str">
        <x:v>PO0409</x:v>
      </x:c>
      <x:c r="C396" s="5" t="n">
        <x:v>46193</x:v>
      </x:c>
      <x:c r="D396" s="5" t="n">
        <x:v>46253</x:v>
      </x:c>
      <x:c r="E396" s="1" t="n">
        <x:v>579</x:v>
      </x:c>
      <x:c r="F396" s="6" t="n">
        <x:v>12.24</x:v>
      </x:c>
      <x:c r="G396" s="1" t="str">
        <x:v>Missing documentation</x:v>
      </x:c>
      <x:c r="H396" s="5" t="n">
        <x:v>46211</x:v>
      </x:c>
      <x:c r="I396" s="5" t="n">
        <x:v>46250</x:v>
      </x:c>
      <x:c r="J396" s="10" t="n">
        <x:f>E396*F396</x:f>
        <x:v>7086.96</x:v>
      </x:c>
    </x:row>
    <x:row r="397">
      <x:c r="A397" s="1" t="str">
        <x:v>INV410</x:v>
      </x:c>
      <x:c r="B397" s="1" t="str">
        <x:v>PO0410</x:v>
      </x:c>
      <x:c r="C397" s="5" t="n">
        <x:v>46162</x:v>
      </x:c>
      <x:c r="D397" s="5" t="n">
        <x:v>46207</x:v>
      </x:c>
      <x:c r="E397" s="1" t="n">
        <x:v>1043</x:v>
      </x:c>
      <x:c r="F397" s="6" t="n">
        <x:v>7.31</x:v>
      </x:c>
      <x:c r="G397" s="1" t="str">
        <x:v>None</x:v>
      </x:c>
      <x:c r="H397" s="5" t="n">
        <x:v>46162</x:v>
      </x:c>
      <x:c r="I397" s="5" t="n">
        <x:v>46204</x:v>
      </x:c>
      <x:c r="J397" s="10" t="n">
        <x:f>E397*F397</x:f>
        <x:v>7624.33</x:v>
      </x:c>
    </x:row>
    <x:row r="398">
      <x:c r="A398" s="1" t="str">
        <x:v>INV411</x:v>
      </x:c>
      <x:c r="B398" s="1" t="str">
        <x:v>PO0411</x:v>
      </x:c>
      <x:c r="C398" s="5" t="n">
        <x:v>46100</x:v>
      </x:c>
      <x:c r="D398" s="5" t="n">
        <x:v>46145</x:v>
      </x:c>
      <x:c r="E398" s="1" t="n">
        <x:v>2296</x:v>
      </x:c>
      <x:c r="F398" s="6" t="n">
        <x:v>10.6</x:v>
      </x:c>
      <x:c r="G398" s="1" t="str">
        <x:v>None</x:v>
      </x:c>
      <x:c r="H398" s="5" t="n">
        <x:v>46100</x:v>
      </x:c>
      <x:c r="I398" s="5" t="n">
        <x:v>46145</x:v>
      </x:c>
      <x:c r="J398" s="10" t="n">
        <x:f>E398*F398</x:f>
        <x:v>24337.6</x:v>
      </x:c>
    </x:row>
    <x:row r="399">
      <x:c r="A399" s="1" t="str">
        <x:v>INV412</x:v>
      </x:c>
      <x:c r="B399" s="1" t="str">
        <x:v>PO0412</x:v>
      </x:c>
      <x:c r="C399" s="5" t="n">
        <x:v>46221</x:v>
      </x:c>
      <x:c r="D399" s="5" t="n">
        <x:v>46281</x:v>
      </x:c>
      <x:c r="E399" s="1" t="n">
        <x:v>1709</x:v>
      </x:c>
      <x:c r="F399" s="6" t="n">
        <x:v>18.95</x:v>
      </x:c>
      <x:c r="G399" s="1" t="str">
        <x:v>None</x:v>
      </x:c>
      <x:c r="H399" s="5" t="n">
        <x:v>46221</x:v>
      </x:c>
      <x:c r="I399" s="5" t="n">
        <x:v>46279</x:v>
      </x:c>
      <x:c r="J399" s="10" t="n">
        <x:f>E399*F399</x:f>
        <x:v>32385.55</x:v>
      </x:c>
    </x:row>
    <x:row r="400">
      <x:c r="A400" s="1" t="str">
        <x:v>INV413</x:v>
      </x:c>
      <x:c r="B400" s="1" t="str">
        <x:v>PO0413</x:v>
      </x:c>
      <x:c r="C400" s="5" t="n">
        <x:v>46217</x:v>
      </x:c>
      <x:c r="D400" s="5" t="n">
        <x:v>46262</x:v>
      </x:c>
      <x:c r="E400" s="1" t="n">
        <x:v>4250</x:v>
      </x:c>
      <x:c r="F400" s="6" t="n">
        <x:v>23.9</x:v>
      </x:c>
      <x:c r="G400" s="1" t="str">
        <x:v>None</x:v>
      </x:c>
      <x:c r="H400" s="5" t="n">
        <x:v>46217</x:v>
      </x:c>
      <x:c r="I400" s="5" t="n">
        <x:v>46260</x:v>
      </x:c>
      <x:c r="J400" s="10" t="n">
        <x:f>E400*F400</x:f>
        <x:v>101575</x:v>
      </x:c>
    </x:row>
    <x:row r="401">
      <x:c r="A401" s="1" t="str">
        <x:v>INV414</x:v>
      </x:c>
      <x:c r="B401" s="1" t="str">
        <x:v>PO0414</x:v>
      </x:c>
      <x:c r="C401" s="5" t="n">
        <x:v>46133</x:v>
      </x:c>
      <x:c r="D401" s="5" t="n">
        <x:v>46193</x:v>
      </x:c>
      <x:c r="E401" s="1" t="n">
        <x:v>2594</x:v>
      </x:c>
      <x:c r="F401" s="6" t="n">
        <x:v>21.17</x:v>
      </x:c>
      <x:c r="G401" s="1" t="str">
        <x:v>None</x:v>
      </x:c>
      <x:c r="H401" s="5" t="n">
        <x:v>46133</x:v>
      </x:c>
      <x:c r="I401" s="5" t="n">
        <x:v>46200</x:v>
      </x:c>
      <x:c r="J401" s="10" t="n">
        <x:f>E401*F401</x:f>
        <x:v>54914.98</x:v>
      </x:c>
    </x:row>
    <x:row r="402">
      <x:c r="A402" s="1" t="str">
        <x:v>INV415</x:v>
      </x:c>
      <x:c r="B402" s="1" t="str">
        <x:v>PO0415</x:v>
      </x:c>
      <x:c r="C402" s="5" t="n">
        <x:v>46045</x:v>
      </x:c>
      <x:c r="D402" s="5" t="n">
        <x:v>46075</x:v>
      </x:c>
      <x:c r="E402" s="1" t="n">
        <x:v>3741</x:v>
      </x:c>
      <x:c r="F402" s="6" t="n">
        <x:v>16.9</x:v>
      </x:c>
      <x:c r="G402" s="1" t="str">
        <x:v>None</x:v>
      </x:c>
      <x:c r="H402" s="5" t="n">
        <x:v>46045</x:v>
      </x:c>
      <x:c r="I402" s="5" t="n">
        <x:v>46077</x:v>
      </x:c>
      <x:c r="J402" s="10" t="n">
        <x:f>E402*F402</x:f>
        <x:v>63222.899999999994</x:v>
      </x:c>
    </x:row>
    <x:row r="403">
      <x:c r="A403" s="1" t="str">
        <x:v>INV416</x:v>
      </x:c>
      <x:c r="B403" s="1" t="str">
        <x:v>PO0416</x:v>
      </x:c>
      <x:c r="C403" s="5" t="n">
        <x:v>46066</x:v>
      </x:c>
      <x:c r="D403" s="5" t="n">
        <x:v>46126</x:v>
      </x:c>
      <x:c r="E403" s="1" t="n">
        <x:v>1021</x:v>
      </x:c>
      <x:c r="F403" s="6" t="n">
        <x:v>1.13</x:v>
      </x:c>
      <x:c r="G403" s="1" t="str">
        <x:v>None</x:v>
      </x:c>
      <x:c r="H403" s="5" t="n">
        <x:v>46066</x:v>
      </x:c>
      <x:c r="I403" s="5" t="n">
        <x:v>46134</x:v>
      </x:c>
      <x:c r="J403" s="10" t="n">
        <x:f>E403*F403</x:f>
        <x:v>1153.7299999999998</x:v>
      </x:c>
    </x:row>
    <x:row r="404">
      <x:c r="A404" s="1" t="str">
        <x:v>INV418</x:v>
      </x:c>
      <x:c r="B404" s="1" t="str">
        <x:v>PO0418</x:v>
      </x:c>
      <x:c r="C404" s="5" t="n">
        <x:v>46172</x:v>
      </x:c>
      <x:c r="D404" s="5" t="n">
        <x:v>46232</x:v>
      </x:c>
      <x:c r="E404" s="1" t="n">
        <x:v>1935</x:v>
      </x:c>
      <x:c r="F404" s="6" t="n">
        <x:v>17</x:v>
      </x:c>
      <x:c r="G404" s="1" t="str">
        <x:v>None</x:v>
      </x:c>
      <x:c r="H404" s="5" t="n">
        <x:v>46172</x:v>
      </x:c>
      <x:c r="I404" s="5" t="n">
        <x:v>46229</x:v>
      </x:c>
      <x:c r="J404" s="10" t="n">
        <x:f>E404*F404</x:f>
        <x:v>32895</x:v>
      </x:c>
    </x:row>
    <x:row r="405">
      <x:c r="A405" s="1" t="str">
        <x:v>INV419</x:v>
      </x:c>
      <x:c r="B405" s="1" t="str">
        <x:v>PO0419</x:v>
      </x:c>
      <x:c r="C405" s="5" t="n">
        <x:v>46096</x:v>
      </x:c>
      <x:c r="D405" s="5" t="n">
        <x:v>46156</x:v>
      </x:c>
      <x:c r="E405" s="1" t="n">
        <x:v>1676</x:v>
      </x:c>
      <x:c r="F405" s="6" t="n">
        <x:v>15.77</x:v>
      </x:c>
      <x:c r="G405" s="1" t="str">
        <x:v>Price mismatch</x:v>
      </x:c>
      <x:c r="H405" s="5" t="n">
        <x:v>46103</x:v>
      </x:c>
      <x:c r="I405" s="5" t="n">
        <x:v>46153</x:v>
      </x:c>
      <x:c r="J405" s="10" t="n">
        <x:f>E405*F405</x:f>
        <x:v>26430.52</x:v>
      </x:c>
    </x:row>
    <x:row r="406">
      <x:c r="A406" s="1" t="str">
        <x:v>INV420</x:v>
      </x:c>
      <x:c r="B406" s="1" t="str">
        <x:v>PO0420</x:v>
      </x:c>
      <x:c r="C406" s="5" t="n">
        <x:v>46266</x:v>
      </x:c>
      <x:c r="D406" s="5" t="n">
        <x:v>46311</x:v>
      </x:c>
      <x:c r="E406" s="1" t="n">
        <x:v>1136</x:v>
      </x:c>
      <x:c r="F406" s="6" t="n">
        <x:v>16.42</x:v>
      </x:c>
      <x:c r="G406" s="1" t="str">
        <x:v>None</x:v>
      </x:c>
      <x:c r="H406" s="5" t="n">
        <x:v>46266</x:v>
      </x:c>
      <x:c r="I406" s="5"/>
      <x:c r="J406" s="10" t="n">
        <x:f>E406*F406</x:f>
        <x:v>18653.120000000003</x:v>
      </x:c>
    </x:row>
    <x:row r="407">
      <x:c r="A407" s="1" t="str">
        <x:v>INV421</x:v>
      </x:c>
      <x:c r="B407" s="1" t="str">
        <x:v>PO0421</x:v>
      </x:c>
      <x:c r="C407" s="5" t="n">
        <x:v>46239</x:v>
      </x:c>
      <x:c r="D407" s="5" t="n">
        <x:v>46299</x:v>
      </x:c>
      <x:c r="E407" s="1" t="n">
        <x:v>1688</x:v>
      </x:c>
      <x:c r="F407" s="6" t="n">
        <x:v>21.46</x:v>
      </x:c>
      <x:c r="G407" s="1" t="str">
        <x:v>None</x:v>
      </x:c>
      <x:c r="H407" s="5" t="n">
        <x:v>46239</x:v>
      </x:c>
      <x:c r="I407" s="5"/>
      <x:c r="J407" s="10" t="n">
        <x:f>E407*F407</x:f>
        <x:v>36224.48</x:v>
      </x:c>
    </x:row>
    <x:row r="408">
      <x:c r="A408" s="1" t="str">
        <x:v>INV422</x:v>
      </x:c>
      <x:c r="B408" s="1" t="str">
        <x:v>PO0422</x:v>
      </x:c>
      <x:c r="C408" s="5" t="n">
        <x:v>46236</x:v>
      </x:c>
      <x:c r="D408" s="5" t="n">
        <x:v>46266</x:v>
      </x:c>
      <x:c r="E408" s="1" t="n">
        <x:v>2953</x:v>
      </x:c>
      <x:c r="F408" s="6" t="n">
        <x:v>3.51</x:v>
      </x:c>
      <x:c r="G408" s="1" t="str">
        <x:v>None</x:v>
      </x:c>
      <x:c r="H408" s="5" t="n">
        <x:v>46236</x:v>
      </x:c>
      <x:c r="I408" s="5" t="n">
        <x:v>46271</x:v>
      </x:c>
      <x:c r="J408" s="10" t="n">
        <x:f>E408*F408</x:f>
        <x:v>10365.029999999999</x:v>
      </x:c>
    </x:row>
    <x:row r="409">
      <x:c r="A409" s="1" t="str">
        <x:v>INV423</x:v>
      </x:c>
      <x:c r="B409" s="1" t="str">
        <x:v>PO0423</x:v>
      </x:c>
      <x:c r="C409" s="5" t="n">
        <x:v>46214</x:v>
      </x:c>
      <x:c r="D409" s="5" t="n">
        <x:v>46259</x:v>
      </x:c>
      <x:c r="E409" s="1" t="n">
        <x:v>1506</x:v>
      </x:c>
      <x:c r="F409" s="6" t="n">
        <x:v>6.34</x:v>
      </x:c>
      <x:c r="G409" s="1" t="str">
        <x:v>Missing documentation</x:v>
      </x:c>
      <x:c r="H409" s="5" t="n">
        <x:v>46232</x:v>
      </x:c>
      <x:c r="I409" s="5" t="n">
        <x:v>46256</x:v>
      </x:c>
      <x:c r="J409" s="10" t="n">
        <x:f>E409*F409</x:f>
        <x:v>9548.039999999999</x:v>
      </x:c>
    </x:row>
    <x:row r="410">
      <x:c r="A410" s="1" t="str">
        <x:v>INV424</x:v>
      </x:c>
      <x:c r="B410" s="1" t="str">
        <x:v>PO0424</x:v>
      </x:c>
      <x:c r="C410" s="5" t="n">
        <x:v>46122</x:v>
      </x:c>
      <x:c r="D410" s="5" t="n">
        <x:v>46152</x:v>
      </x:c>
      <x:c r="E410" s="1" t="n">
        <x:v>2886</x:v>
      </x:c>
      <x:c r="F410" s="6" t="n">
        <x:v>23.9</x:v>
      </x:c>
      <x:c r="G410" s="1" t="str">
        <x:v>None</x:v>
      </x:c>
      <x:c r="H410" s="5" t="n">
        <x:v>46122</x:v>
      </x:c>
      <x:c r="I410" s="5" t="n">
        <x:v>46153</x:v>
      </x:c>
      <x:c r="J410" s="10" t="n">
        <x:f>E410*F410</x:f>
        <x:v>68975.4</x:v>
      </x:c>
    </x:row>
    <x:row r="411">
      <x:c r="A411" s="1" t="str">
        <x:v>INV425</x:v>
      </x:c>
      <x:c r="B411" s="1" t="str">
        <x:v>PO0425</x:v>
      </x:c>
      <x:c r="C411" s="5" t="n">
        <x:v>46217</x:v>
      </x:c>
      <x:c r="D411" s="5" t="n">
        <x:v>46262</x:v>
      </x:c>
      <x:c r="E411" s="1" t="n">
        <x:v>2493</x:v>
      </x:c>
      <x:c r="F411" s="6" t="n">
        <x:v>9.21</x:v>
      </x:c>
      <x:c r="G411" s="1" t="str">
        <x:v>Quantity mismatch</x:v>
      </x:c>
      <x:c r="H411" s="5" t="n">
        <x:v>46238</x:v>
      </x:c>
      <x:c r="I411" s="5" t="n">
        <x:v>46269</x:v>
      </x:c>
      <x:c r="J411" s="10" t="n">
        <x:f>E411*F411</x:f>
        <x:v>22960.530000000002</x:v>
      </x:c>
    </x:row>
    <x:row r="412">
      <x:c r="A412" s="1" t="str">
        <x:v>INV426</x:v>
      </x:c>
      <x:c r="B412" s="1" t="str">
        <x:v>PO0426</x:v>
      </x:c>
      <x:c r="C412" s="5" t="n">
        <x:v>46077</x:v>
      </x:c>
      <x:c r="D412" s="5" t="n">
        <x:v>46122</x:v>
      </x:c>
      <x:c r="E412" s="1" t="n">
        <x:v>2548</x:v>
      </x:c>
      <x:c r="F412" s="6" t="n">
        <x:v>2.2</x:v>
      </x:c>
      <x:c r="G412" s="1" t="str">
        <x:v>Price mismatch</x:v>
      </x:c>
      <x:c r="H412" s="5" t="n">
        <x:v>46095</x:v>
      </x:c>
      <x:c r="I412" s="5" t="n">
        <x:v>46125</x:v>
      </x:c>
      <x:c r="J412" s="10" t="n">
        <x:f>E412*F412</x:f>
        <x:v>5605.6</x:v>
      </x:c>
    </x:row>
    <x:row r="413">
      <x:c r="A413" s="1" t="str">
        <x:v>INV427</x:v>
      </x:c>
      <x:c r="B413" s="1" t="str">
        <x:v>PO0427</x:v>
      </x:c>
      <x:c r="C413" s="5" t="n">
        <x:v>46125</x:v>
      </x:c>
      <x:c r="D413" s="5" t="n">
        <x:v>46170</x:v>
      </x:c>
      <x:c r="E413" s="1" t="n">
        <x:v>2966</x:v>
      </x:c>
      <x:c r="F413" s="6" t="n">
        <x:v>20.37</x:v>
      </x:c>
      <x:c r="G413" s="1" t="str">
        <x:v>None</x:v>
      </x:c>
      <x:c r="H413" s="5" t="n">
        <x:v>46125</x:v>
      </x:c>
      <x:c r="I413" s="5" t="n">
        <x:v>46178</x:v>
      </x:c>
      <x:c r="J413" s="10" t="n">
        <x:f>E413*F413</x:f>
        <x:v>60417.420000000006</x:v>
      </x:c>
    </x:row>
    <x:row r="414">
      <x:c r="A414" s="1" t="str">
        <x:v>INV428</x:v>
      </x:c>
      <x:c r="B414" s="1" t="str">
        <x:v>PO0428</x:v>
      </x:c>
      <x:c r="C414" s="5" t="n">
        <x:v>46106</x:v>
      </x:c>
      <x:c r="D414" s="5" t="n">
        <x:v>46136</x:v>
      </x:c>
      <x:c r="E414" s="1" t="n">
        <x:v>1220</x:v>
      </x:c>
      <x:c r="F414" s="6" t="n">
        <x:v>2.05</x:v>
      </x:c>
      <x:c r="G414" s="1" t="str">
        <x:v>None</x:v>
      </x:c>
      <x:c r="H414" s="5" t="n">
        <x:v>46106</x:v>
      </x:c>
      <x:c r="I414" s="5" t="n">
        <x:v>46138</x:v>
      </x:c>
      <x:c r="J414" s="10" t="n">
        <x:f>E414*F414</x:f>
        <x:v>2501</x:v>
      </x:c>
    </x:row>
    <x:row r="415">
      <x:c r="A415" s="1" t="str">
        <x:v>INV429</x:v>
      </x:c>
      <x:c r="B415" s="1" t="str">
        <x:v>PO0429</x:v>
      </x:c>
      <x:c r="C415" s="5" t="n">
        <x:v>46222</x:v>
      </x:c>
      <x:c r="D415" s="5" t="n">
        <x:v>46267</x:v>
      </x:c>
      <x:c r="E415" s="1" t="n">
        <x:v>2871</x:v>
      </x:c>
      <x:c r="F415" s="6" t="n">
        <x:v>5.32</x:v>
      </x:c>
      <x:c r="G415" s="1" t="str">
        <x:v>None</x:v>
      </x:c>
      <x:c r="H415" s="5" t="n">
        <x:v>46222</x:v>
      </x:c>
      <x:c r="I415" s="5" t="n">
        <x:v>46264</x:v>
      </x:c>
      <x:c r="J415" s="10" t="n">
        <x:f>E415*F415</x:f>
        <x:v>15273.720000000001</x:v>
      </x:c>
    </x:row>
    <x:row r="416">
      <x:c r="A416" s="1" t="str">
        <x:v>INV430</x:v>
      </x:c>
      <x:c r="B416" s="1" t="str">
        <x:v>PO0430</x:v>
      </x:c>
      <x:c r="C416" s="5" t="n">
        <x:v>46080</x:v>
      </x:c>
      <x:c r="D416" s="5" t="n">
        <x:v>46125</x:v>
      </x:c>
      <x:c r="E416" s="1" t="n">
        <x:v>4252</x:v>
      </x:c>
      <x:c r="F416" s="6" t="n">
        <x:v>24.56</x:v>
      </x:c>
      <x:c r="G416" s="1" t="str">
        <x:v>None</x:v>
      </x:c>
      <x:c r="H416" s="5" t="n">
        <x:v>46080</x:v>
      </x:c>
      <x:c r="I416" s="5" t="n">
        <x:v>46127</x:v>
      </x:c>
      <x:c r="J416" s="10" t="n">
        <x:f>E416*F416</x:f>
        <x:v>104429.12</x:v>
      </x:c>
    </x:row>
    <x:row r="417">
      <x:c r="A417" s="1" t="str">
        <x:v>INV431</x:v>
      </x:c>
      <x:c r="B417" s="1" t="str">
        <x:v>PO0431</x:v>
      </x:c>
      <x:c r="C417" s="5" t="n">
        <x:v>46266</x:v>
      </x:c>
      <x:c r="D417" s="5" t="n">
        <x:v>46311</x:v>
      </x:c>
      <x:c r="E417" s="1" t="n">
        <x:v>4940</x:v>
      </x:c>
      <x:c r="F417" s="6" t="n">
        <x:v>20.72</x:v>
      </x:c>
      <x:c r="G417" s="1" t="str">
        <x:v>None</x:v>
      </x:c>
      <x:c r="H417" s="5" t="n">
        <x:v>46266</x:v>
      </x:c>
      <x:c r="I417" s="5"/>
      <x:c r="J417" s="10" t="n">
        <x:f>E417*F417</x:f>
        <x:v>102356.79999999999</x:v>
      </x:c>
    </x:row>
    <x:row r="418">
      <x:c r="A418" s="1" t="str">
        <x:v>INV432</x:v>
      </x:c>
      <x:c r="B418" s="1" t="str">
        <x:v>PO0432</x:v>
      </x:c>
      <x:c r="C418" s="5" t="n">
        <x:v>46100</x:v>
      </x:c>
      <x:c r="D418" s="5" t="n">
        <x:v>46130</x:v>
      </x:c>
      <x:c r="E418" s="1" t="n">
        <x:v>4722</x:v>
      </x:c>
      <x:c r="F418" s="6" t="n">
        <x:v>5.07</x:v>
      </x:c>
      <x:c r="G418" s="1" t="str">
        <x:v>None</x:v>
      </x:c>
      <x:c r="H418" s="5" t="n">
        <x:v>46100</x:v>
      </x:c>
      <x:c r="I418" s="5" t="n">
        <x:v>46138</x:v>
      </x:c>
      <x:c r="J418" s="10" t="n">
        <x:f>E418*F418</x:f>
        <x:v>23940.54</x:v>
      </x:c>
    </x:row>
    <x:row r="419">
      <x:c r="A419" s="1" t="str">
        <x:v>INV433</x:v>
      </x:c>
      <x:c r="B419" s="1" t="str">
        <x:v>PO0433</x:v>
      </x:c>
      <x:c r="C419" s="5" t="n">
        <x:v>46080</x:v>
      </x:c>
      <x:c r="D419" s="5" t="n">
        <x:v>46125</x:v>
      </x:c>
      <x:c r="E419" s="1" t="n">
        <x:v>302</x:v>
      </x:c>
      <x:c r="F419" s="6" t="n">
        <x:v>22.28</x:v>
      </x:c>
      <x:c r="G419" s="1" t="str">
        <x:v>None</x:v>
      </x:c>
      <x:c r="H419" s="5" t="n">
        <x:v>46080</x:v>
      </x:c>
      <x:c r="I419" s="5" t="n">
        <x:v>46130</x:v>
      </x:c>
      <x:c r="J419" s="10" t="n">
        <x:f>E419*F419</x:f>
        <x:v>6728.56</x:v>
      </x:c>
    </x:row>
    <x:row r="420">
      <x:c r="A420" s="1" t="str">
        <x:v>INV434</x:v>
      </x:c>
      <x:c r="B420" s="1" t="str">
        <x:v>PO0434</x:v>
      </x:c>
      <x:c r="C420" s="5" t="n">
        <x:v>46040</x:v>
      </x:c>
      <x:c r="D420" s="5" t="n">
        <x:v>46085</x:v>
      </x:c>
      <x:c r="E420" s="1" t="n">
        <x:v>351</x:v>
      </x:c>
      <x:c r="F420" s="6" t="n">
        <x:v>17.25</x:v>
      </x:c>
      <x:c r="G420" s="1" t="str">
        <x:v>None</x:v>
      </x:c>
      <x:c r="H420" s="5" t="n">
        <x:v>46040</x:v>
      </x:c>
      <x:c r="I420" s="5" t="n">
        <x:v>46089</x:v>
      </x:c>
      <x:c r="J420" s="10" t="n">
        <x:f>E420*F420</x:f>
        <x:v>6054.75</x:v>
      </x:c>
    </x:row>
    <x:row r="421">
      <x:c r="A421" s="1" t="str">
        <x:v>INV435</x:v>
      </x:c>
      <x:c r="B421" s="1" t="str">
        <x:v>PO0435</x:v>
      </x:c>
      <x:c r="C421" s="5" t="n">
        <x:v>46129</x:v>
      </x:c>
      <x:c r="D421" s="5" t="n">
        <x:v>46174</x:v>
      </x:c>
      <x:c r="E421" s="1" t="n">
        <x:v>324</x:v>
      </x:c>
      <x:c r="F421" s="6" t="n">
        <x:v>8.55</x:v>
      </x:c>
      <x:c r="G421" s="1" t="str">
        <x:v>None</x:v>
      </x:c>
      <x:c r="H421" s="5" t="n">
        <x:v>46129</x:v>
      </x:c>
      <x:c r="I421" s="5" t="n">
        <x:v>46174</x:v>
      </x:c>
      <x:c r="J421" s="10" t="n">
        <x:f>E421*F421</x:f>
        <x:v>2770.2000000000003</x:v>
      </x:c>
    </x:row>
    <x:row r="422">
      <x:c r="A422" s="1" t="str">
        <x:v>INV436</x:v>
      </x:c>
      <x:c r="B422" s="1" t="str">
        <x:v>PO0436</x:v>
      </x:c>
      <x:c r="C422" s="5" t="n">
        <x:v>46181</x:v>
      </x:c>
      <x:c r="D422" s="5" t="n">
        <x:v>46226</x:v>
      </x:c>
      <x:c r="E422" s="1" t="n">
        <x:v>1805</x:v>
      </x:c>
      <x:c r="F422" s="6" t="n">
        <x:v>12.9</x:v>
      </x:c>
      <x:c r="G422" s="1" t="str">
        <x:v>None</x:v>
      </x:c>
      <x:c r="H422" s="5" t="n">
        <x:v>46181</x:v>
      </x:c>
      <x:c r="I422" s="5" t="n">
        <x:v>46225</x:v>
      </x:c>
      <x:c r="J422" s="10" t="n">
        <x:f>E422*F422</x:f>
        <x:v>23284.5</x:v>
      </x:c>
    </x:row>
    <x:row r="423">
      <x:c r="A423" s="1" t="str">
        <x:v>INV437</x:v>
      </x:c>
      <x:c r="B423" s="1" t="str">
        <x:v>PO0437</x:v>
      </x:c>
      <x:c r="C423" s="5" t="n">
        <x:v>46244</x:v>
      </x:c>
      <x:c r="D423" s="5" t="n">
        <x:v>46289</x:v>
      </x:c>
      <x:c r="E423" s="1" t="n">
        <x:v>656</x:v>
      </x:c>
      <x:c r="F423" s="6" t="n">
        <x:v>11.44</x:v>
      </x:c>
      <x:c r="G423" s="1" t="str">
        <x:v>None</x:v>
      </x:c>
      <x:c r="H423" s="5" t="n">
        <x:v>46244</x:v>
      </x:c>
      <x:c r="I423" s="5" t="n">
        <x:v>46290</x:v>
      </x:c>
      <x:c r="J423" s="10" t="n">
        <x:f>E423*F423</x:f>
        <x:v>7504.639999999999</x:v>
      </x:c>
    </x:row>
    <x:row r="424">
      <x:c r="A424" s="1" t="str">
        <x:v>INV438</x:v>
      </x:c>
      <x:c r="B424" s="1" t="str">
        <x:v>PO0438</x:v>
      </x:c>
      <x:c r="C424" s="5" t="n">
        <x:v>46264</x:v>
      </x:c>
      <x:c r="D424" s="5" t="n">
        <x:v>46324</x:v>
      </x:c>
      <x:c r="E424" s="1" t="n">
        <x:v>1781</x:v>
      </x:c>
      <x:c r="F424" s="6" t="n">
        <x:v>14.31</x:v>
      </x:c>
      <x:c r="G424" s="1" t="str">
        <x:v>None</x:v>
      </x:c>
      <x:c r="H424" s="5" t="n">
        <x:v>46264</x:v>
      </x:c>
      <x:c r="I424" s="5"/>
      <x:c r="J424" s="10" t="n">
        <x:f>E424*F424</x:f>
        <x:v>25486.11</x:v>
      </x:c>
    </x:row>
    <x:row r="425">
      <x:c r="A425" s="1" t="str">
        <x:v>INV439</x:v>
      </x:c>
      <x:c r="B425" s="1" t="str">
        <x:v>PO0439</x:v>
      </x:c>
      <x:c r="C425" s="5" t="n">
        <x:v>46209</x:v>
      </x:c>
      <x:c r="D425" s="5" t="n">
        <x:v>46269</x:v>
      </x:c>
      <x:c r="E425" s="1" t="n">
        <x:v>1925</x:v>
      </x:c>
      <x:c r="F425" s="6" t="n">
        <x:v>22.31</x:v>
      </x:c>
      <x:c r="G425" s="1" t="str">
        <x:v>None</x:v>
      </x:c>
      <x:c r="H425" s="5" t="n">
        <x:v>46209</x:v>
      </x:c>
      <x:c r="I425" s="5" t="n">
        <x:v>46267</x:v>
      </x:c>
      <x:c r="J425" s="10" t="n">
        <x:f>E425*F425</x:f>
        <x:v>42946.75</x:v>
      </x:c>
    </x:row>
    <x:row r="426">
      <x:c r="A426" s="1" t="str">
        <x:v>INV440</x:v>
      </x:c>
      <x:c r="B426" s="1" t="str">
        <x:v>PO0440</x:v>
      </x:c>
      <x:c r="C426" s="5" t="n">
        <x:v>46185</x:v>
      </x:c>
      <x:c r="D426" s="5" t="n">
        <x:v>46230</x:v>
      </x:c>
      <x:c r="E426" s="1" t="n">
        <x:v>769</x:v>
      </x:c>
      <x:c r="F426" s="6" t="n">
        <x:v>2.05</x:v>
      </x:c>
      <x:c r="G426" s="1" t="str">
        <x:v>Quantity mismatch</x:v>
      </x:c>
      <x:c r="H426" s="5" t="n">
        <x:v>46201</x:v>
      </x:c>
      <x:c r="I426" s="5" t="n">
        <x:v>46234</x:v>
      </x:c>
      <x:c r="J426" s="10" t="n">
        <x:f>E426*F426</x:f>
        <x:v>1576.4499999999998</x:v>
      </x:c>
    </x:row>
    <x:row r="427">
      <x:c r="A427" s="1" t="str">
        <x:v>INV441</x:v>
      </x:c>
      <x:c r="B427" s="1" t="str">
        <x:v>PO0441</x:v>
      </x:c>
      <x:c r="C427" s="5" t="n">
        <x:v>46139</x:v>
      </x:c>
      <x:c r="D427" s="5" t="n">
        <x:v>46184</x:v>
      </x:c>
      <x:c r="E427" s="1" t="n">
        <x:v>3408</x:v>
      </x:c>
      <x:c r="F427" s="6" t="n">
        <x:v>3.56</x:v>
      </x:c>
      <x:c r="G427" s="1" t="str">
        <x:v>None</x:v>
      </x:c>
      <x:c r="H427" s="5" t="n">
        <x:v>46139</x:v>
      </x:c>
      <x:c r="I427" s="5" t="n">
        <x:v>46189</x:v>
      </x:c>
      <x:c r="J427" s="10" t="n">
        <x:f>E427*F427</x:f>
        <x:v>12132.48</x:v>
      </x:c>
    </x:row>
    <x:row r="428">
      <x:c r="A428" s="1" t="str">
        <x:v>INV442</x:v>
      </x:c>
      <x:c r="B428" s="1" t="str">
        <x:v>PO0442</x:v>
      </x:c>
      <x:c r="C428" s="5" t="n">
        <x:v>46274</x:v>
      </x:c>
      <x:c r="D428" s="5" t="n">
        <x:v>46304</x:v>
      </x:c>
      <x:c r="E428" s="1" t="n">
        <x:v>1765</x:v>
      </x:c>
      <x:c r="F428" s="6" t="n">
        <x:v>9.89</x:v>
      </x:c>
      <x:c r="G428" s="1" t="str">
        <x:v>None</x:v>
      </x:c>
      <x:c r="H428" s="5" t="n">
        <x:v>46274</x:v>
      </x:c>
      <x:c r="I428" s="5"/>
      <x:c r="J428" s="10" t="n">
        <x:f>E428*F428</x:f>
        <x:v>17455.850000000002</x:v>
      </x:c>
    </x:row>
    <x:row r="429">
      <x:c r="A429" s="1" t="str">
        <x:v>INV443</x:v>
      </x:c>
      <x:c r="B429" s="1" t="str">
        <x:v>PO0443</x:v>
      </x:c>
      <x:c r="C429" s="5" t="n">
        <x:v>46194</x:v>
      </x:c>
      <x:c r="D429" s="5" t="n">
        <x:v>46224</x:v>
      </x:c>
      <x:c r="E429" s="1" t="n">
        <x:v>3752</x:v>
      </x:c>
      <x:c r="F429" s="6" t="n">
        <x:v>21.46</x:v>
      </x:c>
      <x:c r="G429" s="1" t="str">
        <x:v>None</x:v>
      </x:c>
      <x:c r="H429" s="5" t="n">
        <x:v>46194</x:v>
      </x:c>
      <x:c r="I429" s="5" t="n">
        <x:v>46228</x:v>
      </x:c>
      <x:c r="J429" s="10" t="n">
        <x:f>E429*F429</x:f>
        <x:v>80517.92</x:v>
      </x:c>
    </x:row>
    <x:row r="430">
      <x:c r="A430" s="1" t="str">
        <x:v>INV444</x:v>
      </x:c>
      <x:c r="B430" s="1" t="str">
        <x:v>PO0444</x:v>
      </x:c>
      <x:c r="C430" s="5" t="n">
        <x:v>46081</x:v>
      </x:c>
      <x:c r="D430" s="5" t="n">
        <x:v>46141</x:v>
      </x:c>
      <x:c r="E430" s="1" t="n">
        <x:v>3965</x:v>
      </x:c>
      <x:c r="F430" s="6" t="n">
        <x:v>3.21</x:v>
      </x:c>
      <x:c r="G430" s="1" t="str">
        <x:v>None</x:v>
      </x:c>
      <x:c r="H430" s="5" t="n">
        <x:v>46081</x:v>
      </x:c>
      <x:c r="I430" s="5" t="n">
        <x:v>46144</x:v>
      </x:c>
      <x:c r="J430" s="10" t="n">
        <x:f>E430*F430</x:f>
        <x:v>12727.65</x:v>
      </x:c>
    </x:row>
    <x:row r="431">
      <x:c r="A431" s="1" t="str">
        <x:v>INV445</x:v>
      </x:c>
      <x:c r="B431" s="1" t="str">
        <x:v>PO0445</x:v>
      </x:c>
      <x:c r="C431" s="5" t="n">
        <x:v>46189</x:v>
      </x:c>
      <x:c r="D431" s="5" t="n">
        <x:v>46249</x:v>
      </x:c>
      <x:c r="E431" s="1" t="n">
        <x:v>1050</x:v>
      </x:c>
      <x:c r="F431" s="6" t="n">
        <x:v>19.95</x:v>
      </x:c>
      <x:c r="G431" s="1" t="str">
        <x:v>None</x:v>
      </x:c>
      <x:c r="H431" s="5" t="n">
        <x:v>46189</x:v>
      </x:c>
      <x:c r="I431" s="5" t="n">
        <x:v>46253</x:v>
      </x:c>
      <x:c r="J431" s="10" t="n">
        <x:f>E431*F431</x:f>
        <x:v>20947.5</x:v>
      </x:c>
    </x:row>
    <x:row r="432">
      <x:c r="A432" s="1" t="str">
        <x:v>INV446</x:v>
      </x:c>
      <x:c r="B432" s="1" t="str">
        <x:v>PO0446</x:v>
      </x:c>
      <x:c r="C432" s="5" t="n">
        <x:v>46091</x:v>
      </x:c>
      <x:c r="D432" s="5" t="n">
        <x:v>46151</x:v>
      </x:c>
      <x:c r="E432" s="1" t="n">
        <x:v>4320</x:v>
      </x:c>
      <x:c r="F432" s="6" t="n">
        <x:v>5.08</x:v>
      </x:c>
      <x:c r="G432" s="1" t="str">
        <x:v>Price mismatch</x:v>
      </x:c>
      <x:c r="H432" s="5" t="n">
        <x:v>46110</x:v>
      </x:c>
      <x:c r="I432" s="5" t="n">
        <x:v>46154</x:v>
      </x:c>
      <x:c r="J432" s="10" t="n">
        <x:f>E432*F432</x:f>
        <x:v>21945.6</x:v>
      </x:c>
    </x:row>
    <x:row r="433">
      <x:c r="A433" s="1" t="str">
        <x:v>INV447</x:v>
      </x:c>
      <x:c r="B433" s="1" t="str">
        <x:v>PO0447</x:v>
      </x:c>
      <x:c r="C433" s="5" t="n">
        <x:v>46132</x:v>
      </x:c>
      <x:c r="D433" s="5" t="n">
        <x:v>46177</x:v>
      </x:c>
      <x:c r="E433" s="1" t="n">
        <x:v>2030</x:v>
      </x:c>
      <x:c r="F433" s="6" t="n">
        <x:v>23.88</x:v>
      </x:c>
      <x:c r="G433" s="1" t="str">
        <x:v>None</x:v>
      </x:c>
      <x:c r="H433" s="5" t="n">
        <x:v>46132</x:v>
      </x:c>
      <x:c r="I433" s="5" t="n">
        <x:v>46180</x:v>
      </x:c>
      <x:c r="J433" s="10" t="n">
        <x:f>E433*F433</x:f>
        <x:v>48476.4</x:v>
      </x:c>
    </x:row>
    <x:row r="434">
      <x:c r="A434" s="1" t="str">
        <x:v>INV448</x:v>
      </x:c>
      <x:c r="B434" s="1" t="str">
        <x:v>PO0448</x:v>
      </x:c>
      <x:c r="C434" s="5" t="n">
        <x:v>46173</x:v>
      </x:c>
      <x:c r="D434" s="5" t="n">
        <x:v>46233</x:v>
      </x:c>
      <x:c r="E434" s="1" t="n">
        <x:v>1616</x:v>
      </x:c>
      <x:c r="F434" s="6" t="n">
        <x:v>6.8</x:v>
      </x:c>
      <x:c r="G434" s="1" t="str">
        <x:v>None</x:v>
      </x:c>
      <x:c r="H434" s="5" t="n">
        <x:v>46173</x:v>
      </x:c>
      <x:c r="I434" s="5" t="n">
        <x:v>46239</x:v>
      </x:c>
      <x:c r="J434" s="10" t="n">
        <x:f>E434*F434</x:f>
        <x:v>10988.8</x:v>
      </x:c>
    </x:row>
    <x:row r="435">
      <x:c r="A435" s="1" t="str">
        <x:v>INV449</x:v>
      </x:c>
      <x:c r="B435" s="1" t="str">
        <x:v>PO0449</x:v>
      </x:c>
      <x:c r="C435" s="5" t="n">
        <x:v>46212</x:v>
      </x:c>
      <x:c r="D435" s="5" t="n">
        <x:v>46242</x:v>
      </x:c>
      <x:c r="E435" s="1" t="n">
        <x:v>3432</x:v>
      </x:c>
      <x:c r="F435" s="6" t="n">
        <x:v>19.67</x:v>
      </x:c>
      <x:c r="G435" s="1" t="str">
        <x:v>None</x:v>
      </x:c>
      <x:c r="H435" s="5" t="n">
        <x:v>46212</x:v>
      </x:c>
      <x:c r="I435" s="5" t="n">
        <x:v>46244</x:v>
      </x:c>
      <x:c r="J435" s="10" t="n">
        <x:f>E435*F435</x:f>
        <x:v>67507.44</x:v>
      </x:c>
    </x:row>
    <x:row r="436">
      <x:c r="A436" s="1" t="str">
        <x:v>INV450</x:v>
      </x:c>
      <x:c r="B436" s="1" t="str">
        <x:v>PO0450</x:v>
      </x:c>
      <x:c r="C436" s="5" t="n">
        <x:v>46098</x:v>
      </x:c>
      <x:c r="D436" s="5" t="n">
        <x:v>46158</x:v>
      </x:c>
      <x:c r="E436" s="1" t="n">
        <x:v>3126</x:v>
      </x:c>
      <x:c r="F436" s="6" t="n">
        <x:v>16.91</x:v>
      </x:c>
      <x:c r="G436" s="1" t="str">
        <x:v>None</x:v>
      </x:c>
      <x:c r="H436" s="5" t="n">
        <x:v>46098</x:v>
      </x:c>
      <x:c r="I436" s="5" t="n">
        <x:v>46158</x:v>
      </x:c>
      <x:c r="J436" s="10" t="n">
        <x:f>E436*F436</x:f>
        <x:v>52860.66</x:v>
      </x:c>
    </x:row>
    <x:row r="437">
      <x:c r="A437" s="1" t="str">
        <x:v>INV451</x:v>
      </x:c>
      <x:c r="B437" s="1" t="str">
        <x:v>PO0451</x:v>
      </x:c>
      <x:c r="C437" s="5" t="n">
        <x:v>46221</x:v>
      </x:c>
      <x:c r="D437" s="5" t="n">
        <x:v>46251</x:v>
      </x:c>
      <x:c r="E437" s="1" t="n">
        <x:v>3067</x:v>
      </x:c>
      <x:c r="F437" s="6" t="n">
        <x:v>20.05</x:v>
      </x:c>
      <x:c r="G437" s="1" t="str">
        <x:v>None</x:v>
      </x:c>
      <x:c r="H437" s="5" t="n">
        <x:v>46221</x:v>
      </x:c>
      <x:c r="I437" s="5" t="n">
        <x:v>46253</x:v>
      </x:c>
      <x:c r="J437" s="10" t="n">
        <x:f>E437*F437</x:f>
        <x:v>61493.35</x:v>
      </x:c>
    </x:row>
    <x:row r="438">
      <x:c r="A438" s="1" t="str">
        <x:v>INV452</x:v>
      </x:c>
      <x:c r="B438" s="1" t="str">
        <x:v>PO0452</x:v>
      </x:c>
      <x:c r="C438" s="5" t="n">
        <x:v>46289</x:v>
      </x:c>
      <x:c r="D438" s="5" t="n">
        <x:v>46319</x:v>
      </x:c>
      <x:c r="E438" s="1" t="n">
        <x:v>921</x:v>
      </x:c>
      <x:c r="F438" s="6" t="n">
        <x:v>16.62</x:v>
      </x:c>
      <x:c r="G438" s="1" t="str">
        <x:v>Price mismatch</x:v>
      </x:c>
      <x:c r="H438" s="5"/>
      <x:c r="I438" s="5"/>
      <x:c r="J438" s="10" t="n">
        <x:f>E438*F438</x:f>
        <x:v>15307.02</x:v>
      </x:c>
    </x:row>
    <x:row r="439">
      <x:c r="A439" s="1" t="str">
        <x:v>INV453</x:v>
      </x:c>
      <x:c r="B439" s="1" t="str">
        <x:v>PO0453</x:v>
      </x:c>
      <x:c r="C439" s="5" t="n">
        <x:v>46064</x:v>
      </x:c>
      <x:c r="D439" s="5" t="n">
        <x:v>46109</x:v>
      </x:c>
      <x:c r="E439" s="1" t="n">
        <x:v>2408</x:v>
      </x:c>
      <x:c r="F439" s="6" t="n">
        <x:v>20.82</x:v>
      </x:c>
      <x:c r="G439" s="1" t="str">
        <x:v>None</x:v>
      </x:c>
      <x:c r="H439" s="5" t="n">
        <x:v>46064</x:v>
      </x:c>
      <x:c r="I439" s="5" t="n">
        <x:v>46106</x:v>
      </x:c>
      <x:c r="J439" s="10" t="n">
        <x:f>E439*F439</x:f>
        <x:v>50134.56</x:v>
      </x:c>
    </x:row>
    <x:row r="440">
      <x:c r="A440" s="1" t="str">
        <x:v>INV454</x:v>
      </x:c>
      <x:c r="B440" s="1" t="str">
        <x:v>PO0454</x:v>
      </x:c>
      <x:c r="C440" s="5" t="n">
        <x:v>46076</x:v>
      </x:c>
      <x:c r="D440" s="5" t="n">
        <x:v>46106</x:v>
      </x:c>
      <x:c r="E440" s="1" t="n">
        <x:v>4943</x:v>
      </x:c>
      <x:c r="F440" s="6" t="n">
        <x:v>22.04</x:v>
      </x:c>
      <x:c r="G440" s="1" t="str">
        <x:v>Price mismatch</x:v>
      </x:c>
      <x:c r="H440" s="5" t="n">
        <x:v>46087</x:v>
      </x:c>
      <x:c r="I440" s="5" t="n">
        <x:v>46108</x:v>
      </x:c>
      <x:c r="J440" s="10" t="n">
        <x:f>E440*F440</x:f>
        <x:v>108943.72</x:v>
      </x:c>
    </x:row>
    <x:row r="441">
      <x:c r="A441" s="1" t="str">
        <x:v>INV455</x:v>
      </x:c>
      <x:c r="B441" s="1" t="str">
        <x:v>PO0455</x:v>
      </x:c>
      <x:c r="C441" s="5" t="n">
        <x:v>46268</x:v>
      </x:c>
      <x:c r="D441" s="5" t="n">
        <x:v>46328</x:v>
      </x:c>
      <x:c r="E441" s="1" t="n">
        <x:v>939</x:v>
      </x:c>
      <x:c r="F441" s="6" t="n">
        <x:v>13.26</x:v>
      </x:c>
      <x:c r="G441" s="1" t="str">
        <x:v>None</x:v>
      </x:c>
      <x:c r="H441" s="5" t="n">
        <x:v>46268</x:v>
      </x:c>
      <x:c r="I441" s="5"/>
      <x:c r="J441" s="10" t="n">
        <x:f>E441*F441</x:f>
        <x:v>12451.14</x:v>
      </x:c>
    </x:row>
    <x:row r="442">
      <x:c r="A442" s="1" t="str">
        <x:v>INV456</x:v>
      </x:c>
      <x:c r="B442" s="1" t="str">
        <x:v>PO0456</x:v>
      </x:c>
      <x:c r="C442" s="5" t="n">
        <x:v>46240</x:v>
      </x:c>
      <x:c r="D442" s="5" t="n">
        <x:v>46300</x:v>
      </x:c>
      <x:c r="E442" s="1" t="n">
        <x:v>644</x:v>
      </x:c>
      <x:c r="F442" s="6" t="n">
        <x:v>9.39</x:v>
      </x:c>
      <x:c r="G442" s="1" t="str">
        <x:v>Quantity mismatch</x:v>
      </x:c>
      <x:c r="H442" s="5" t="n">
        <x:v>46262</x:v>
      </x:c>
      <x:c r="I442" s="5"/>
      <x:c r="J442" s="10" t="n">
        <x:f>E442*F442</x:f>
        <x:v>6047.160000000001</x:v>
      </x:c>
    </x:row>
    <x:row r="443">
      <x:c r="A443" s="1" t="str">
        <x:v>INV457</x:v>
      </x:c>
      <x:c r="B443" s="1" t="str">
        <x:v>PO0457</x:v>
      </x:c>
      <x:c r="C443" s="5" t="n">
        <x:v>46195</x:v>
      </x:c>
      <x:c r="D443" s="5" t="n">
        <x:v>46225</x:v>
      </x:c>
      <x:c r="E443" s="1" t="n">
        <x:v>2974</x:v>
      </x:c>
      <x:c r="F443" s="6" t="n">
        <x:v>3.68</x:v>
      </x:c>
      <x:c r="G443" s="1" t="str">
        <x:v>None</x:v>
      </x:c>
      <x:c r="H443" s="5" t="n">
        <x:v>46195</x:v>
      </x:c>
      <x:c r="I443" s="5" t="n">
        <x:v>46226</x:v>
      </x:c>
      <x:c r="J443" s="10" t="n">
        <x:f>E443*F443</x:f>
        <x:v>10944.32</x:v>
      </x:c>
    </x:row>
    <x:row r="444">
      <x:c r="A444" s="1" t="str">
        <x:v>INV458</x:v>
      </x:c>
      <x:c r="B444" s="1" t="str">
        <x:v>PO0458</x:v>
      </x:c>
      <x:c r="C444" s="5" t="n">
        <x:v>46170</x:v>
      </x:c>
      <x:c r="D444" s="5" t="n">
        <x:v>46200</x:v>
      </x:c>
      <x:c r="E444" s="1" t="n">
        <x:v>4581</x:v>
      </x:c>
      <x:c r="F444" s="6" t="n">
        <x:v>15.43</x:v>
      </x:c>
      <x:c r="G444" s="1" t="str">
        <x:v>None</x:v>
      </x:c>
      <x:c r="H444" s="5" t="n">
        <x:v>46170</x:v>
      </x:c>
      <x:c r="I444" s="5" t="n">
        <x:v>46203</x:v>
      </x:c>
      <x:c r="J444" s="10" t="n">
        <x:f>E444*F444</x:f>
        <x:v>70684.83</x:v>
      </x:c>
    </x:row>
    <x:row r="445">
      <x:c r="A445" s="1" t="str">
        <x:v>INV459</x:v>
      </x:c>
      <x:c r="B445" s="1" t="str">
        <x:v>PO0459</x:v>
      </x:c>
      <x:c r="C445" s="5" t="n">
        <x:v>46105</x:v>
      </x:c>
      <x:c r="D445" s="5" t="n">
        <x:v>46150</x:v>
      </x:c>
      <x:c r="E445" s="1" t="n">
        <x:v>1867</x:v>
      </x:c>
      <x:c r="F445" s="6" t="n">
        <x:v>9.19</x:v>
      </x:c>
      <x:c r="G445" s="1" t="str">
        <x:v>None</x:v>
      </x:c>
      <x:c r="H445" s="5" t="n">
        <x:v>46105</x:v>
      </x:c>
      <x:c r="I445" s="5" t="n">
        <x:v>46148</x:v>
      </x:c>
      <x:c r="J445" s="10" t="n">
        <x:f>E445*F445</x:f>
        <x:v>17157.73</x:v>
      </x:c>
    </x:row>
    <x:row r="446">
      <x:c r="A446" s="1" t="str">
        <x:v>INV460</x:v>
      </x:c>
      <x:c r="B446" s="1" t="str">
        <x:v>PO0460</x:v>
      </x:c>
      <x:c r="C446" s="5" t="n">
        <x:v>46077</x:v>
      </x:c>
      <x:c r="D446" s="5" t="n">
        <x:v>46107</x:v>
      </x:c>
      <x:c r="E446" s="1" t="n">
        <x:v>2435</x:v>
      </x:c>
      <x:c r="F446" s="6" t="n">
        <x:v>15.43</x:v>
      </x:c>
      <x:c r="G446" s="1" t="str">
        <x:v>Quantity mismatch</x:v>
      </x:c>
      <x:c r="H446" s="5" t="n">
        <x:v>46087</x:v>
      </x:c>
      <x:c r="I446" s="5" t="n">
        <x:v>46107</x:v>
      </x:c>
      <x:c r="J446" s="10" t="n">
        <x:f>E446*F446</x:f>
        <x:v>37572.05</x:v>
      </x:c>
    </x:row>
    <x:row r="447">
      <x:c r="A447" s="1" t="str">
        <x:v>INV461</x:v>
      </x:c>
      <x:c r="B447" s="1" t="str">
        <x:v>PO0461</x:v>
      </x:c>
      <x:c r="C447" s="5" t="n">
        <x:v>46231</x:v>
      </x:c>
      <x:c r="D447" s="5" t="n">
        <x:v>46261</x:v>
      </x:c>
      <x:c r="E447" s="1" t="n">
        <x:v>4436</x:v>
      </x:c>
      <x:c r="F447" s="6" t="n">
        <x:v>12.51</x:v>
      </x:c>
      <x:c r="G447" s="1" t="str">
        <x:v>Quantity mismatch</x:v>
      </x:c>
      <x:c r="H447" s="5" t="n">
        <x:v>46235</x:v>
      </x:c>
      <x:c r="I447" s="5" t="n">
        <x:v>46267</x:v>
      </x:c>
      <x:c r="J447" s="10" t="n">
        <x:f>E447*F447</x:f>
        <x:v>55494.36</x:v>
      </x:c>
    </x:row>
    <x:row r="448">
      <x:c r="A448" s="1" t="str">
        <x:v>INV462</x:v>
      </x:c>
      <x:c r="B448" s="1" t="str">
        <x:v>PO0462</x:v>
      </x:c>
      <x:c r="C448" s="5" t="n">
        <x:v>46272</x:v>
      </x:c>
      <x:c r="D448" s="5" t="n">
        <x:v>46332</x:v>
      </x:c>
      <x:c r="E448" s="1" t="n">
        <x:v>2534</x:v>
      </x:c>
      <x:c r="F448" s="6" t="n">
        <x:v>16.84</x:v>
      </x:c>
      <x:c r="G448" s="1" t="str">
        <x:v>None</x:v>
      </x:c>
      <x:c r="H448" s="5" t="n">
        <x:v>46272</x:v>
      </x:c>
      <x:c r="I448" s="5"/>
      <x:c r="J448" s="10" t="n">
        <x:f>E448*F448</x:f>
        <x:v>42672.56</x:v>
      </x:c>
    </x:row>
    <x:row r="449">
      <x:c r="A449" s="1" t="str">
        <x:v>INV463</x:v>
      </x:c>
      <x:c r="B449" s="1" t="str">
        <x:v>PO0463</x:v>
      </x:c>
      <x:c r="C449" s="5" t="n">
        <x:v>46201</x:v>
      </x:c>
      <x:c r="D449" s="5" t="n">
        <x:v>46231</x:v>
      </x:c>
      <x:c r="E449" s="1" t="n">
        <x:v>2455</x:v>
      </x:c>
      <x:c r="F449" s="6" t="n">
        <x:v>9.63</x:v>
      </x:c>
      <x:c r="G449" s="1" t="str">
        <x:v>None</x:v>
      </x:c>
      <x:c r="H449" s="5" t="n">
        <x:v>46201</x:v>
      </x:c>
      <x:c r="I449" s="5" t="n">
        <x:v>46238</x:v>
      </x:c>
      <x:c r="J449" s="10" t="n">
        <x:f>E449*F449</x:f>
        <x:v>23641.65</x:v>
      </x:c>
    </x:row>
    <x:row r="450">
      <x:c r="A450" s="1" t="str">
        <x:v>INV464</x:v>
      </x:c>
      <x:c r="B450" s="1" t="str">
        <x:v>PO0464</x:v>
      </x:c>
      <x:c r="C450" s="5" t="n">
        <x:v>46192</x:v>
      </x:c>
      <x:c r="D450" s="5" t="n">
        <x:v>46252</x:v>
      </x:c>
      <x:c r="E450" s="1" t="n">
        <x:v>3609</x:v>
      </x:c>
      <x:c r="F450" s="6" t="n">
        <x:v>23.74</x:v>
      </x:c>
      <x:c r="G450" s="1" t="str">
        <x:v>None</x:v>
      </x:c>
      <x:c r="H450" s="5" t="n">
        <x:v>46192</x:v>
      </x:c>
      <x:c r="I450" s="5" t="n">
        <x:v>46255</x:v>
      </x:c>
      <x:c r="J450" s="10" t="n">
        <x:f>E450*F450</x:f>
        <x:v>85677.65999999999</x:v>
      </x:c>
    </x:row>
    <x:row r="451">
      <x:c r="A451" s="1" t="str">
        <x:v>INV465</x:v>
      </x:c>
      <x:c r="B451" s="1" t="str">
        <x:v>PO0465</x:v>
      </x:c>
      <x:c r="C451" s="5" t="n">
        <x:v>46159</x:v>
      </x:c>
      <x:c r="D451" s="5" t="n">
        <x:v>46219</x:v>
      </x:c>
      <x:c r="E451" s="1" t="n">
        <x:v>3785</x:v>
      </x:c>
      <x:c r="F451" s="6" t="n">
        <x:v>8.55</x:v>
      </x:c>
      <x:c r="G451" s="1" t="str">
        <x:v>None</x:v>
      </x:c>
      <x:c r="H451" s="5" t="n">
        <x:v>46159</x:v>
      </x:c>
      <x:c r="I451" s="5" t="n">
        <x:v>46225</x:v>
      </x:c>
      <x:c r="J451" s="10" t="n">
        <x:f>E451*F451</x:f>
        <x:v>32361.750000000004</x:v>
      </x:c>
    </x:row>
    <x:row r="452">
      <x:c r="A452" s="1" t="str">
        <x:v>INV466</x:v>
      </x:c>
      <x:c r="B452" s="1" t="str">
        <x:v>PO0466</x:v>
      </x:c>
      <x:c r="C452" s="5" t="n">
        <x:v>46078</x:v>
      </x:c>
      <x:c r="D452" s="5" t="n">
        <x:v>46138</x:v>
      </x:c>
      <x:c r="E452" s="1" t="n">
        <x:v>3627</x:v>
      </x:c>
      <x:c r="F452" s="6" t="n">
        <x:v>16.08</x:v>
      </x:c>
      <x:c r="G452" s="1" t="str">
        <x:v>None</x:v>
      </x:c>
      <x:c r="H452" s="5" t="n">
        <x:v>46078</x:v>
      </x:c>
      <x:c r="I452" s="5" t="n">
        <x:v>46146</x:v>
      </x:c>
      <x:c r="J452" s="10" t="n">
        <x:f>E452*F452</x:f>
        <x:v>58322.159999999996</x:v>
      </x:c>
    </x:row>
    <x:row r="453">
      <x:c r="A453" s="1" t="str">
        <x:v>INV467</x:v>
      </x:c>
      <x:c r="B453" s="1" t="str">
        <x:v>PO0467</x:v>
      </x:c>
      <x:c r="C453" s="5" t="n">
        <x:v>46116</x:v>
      </x:c>
      <x:c r="D453" s="5" t="n">
        <x:v>46176</x:v>
      </x:c>
      <x:c r="E453" s="1" t="n">
        <x:v>449</x:v>
      </x:c>
      <x:c r="F453" s="6" t="n">
        <x:v>4.26</x:v>
      </x:c>
      <x:c r="G453" s="1" t="str">
        <x:v>Price mismatch</x:v>
      </x:c>
      <x:c r="H453" s="5" t="n">
        <x:v>46127</x:v>
      </x:c>
      <x:c r="I453" s="5" t="n">
        <x:v>46184</x:v>
      </x:c>
      <x:c r="J453" s="10" t="n">
        <x:f>E453*F453</x:f>
        <x:v>1912.74</x:v>
      </x:c>
    </x:row>
    <x:row r="454">
      <x:c r="A454" s="1" t="str">
        <x:v>INV468</x:v>
      </x:c>
      <x:c r="B454" s="1" t="str">
        <x:v>PO0468</x:v>
      </x:c>
      <x:c r="C454" s="5" t="n">
        <x:v>46072</x:v>
      </x:c>
      <x:c r="D454" s="5" t="n">
        <x:v>46102</x:v>
      </x:c>
      <x:c r="E454" s="1" t="n">
        <x:v>102</x:v>
      </x:c>
      <x:c r="F454" s="6" t="n">
        <x:v>7.36</x:v>
      </x:c>
      <x:c r="G454" s="1" t="str">
        <x:v>None</x:v>
      </x:c>
      <x:c r="H454" s="5" t="n">
        <x:v>46072</x:v>
      </x:c>
      <x:c r="I454" s="5" t="n">
        <x:v>46099</x:v>
      </x:c>
      <x:c r="J454" s="10" t="n">
        <x:f>E454*F454</x:f>
        <x:v>750.72</x:v>
      </x:c>
    </x:row>
    <x:row r="455">
      <x:c r="A455" s="1" t="str">
        <x:v>INV469</x:v>
      </x:c>
      <x:c r="B455" s="1" t="str">
        <x:v>PO0469</x:v>
      </x:c>
      <x:c r="C455" s="5" t="n">
        <x:v>46272</x:v>
      </x:c>
      <x:c r="D455" s="5" t="n">
        <x:v>46332</x:v>
      </x:c>
      <x:c r="E455" s="1" t="n">
        <x:v>1735</x:v>
      </x:c>
      <x:c r="F455" s="6" t="n">
        <x:v>16.44</x:v>
      </x:c>
      <x:c r="G455" s="1" t="str">
        <x:v>None</x:v>
      </x:c>
      <x:c r="H455" s="5" t="n">
        <x:v>46272</x:v>
      </x:c>
      <x:c r="I455" s="5"/>
      <x:c r="J455" s="10" t="n">
        <x:f>E455*F455</x:f>
        <x:v>28523.4</x:v>
      </x:c>
    </x:row>
    <x:row r="456">
      <x:c r="A456" s="1" t="str">
        <x:v>INV470</x:v>
      </x:c>
      <x:c r="B456" s="1" t="str">
        <x:v>PO0470</x:v>
      </x:c>
      <x:c r="C456" s="5" t="n">
        <x:v>46061</x:v>
      </x:c>
      <x:c r="D456" s="5" t="n">
        <x:v>46091</x:v>
      </x:c>
      <x:c r="E456" s="1" t="n">
        <x:v>174</x:v>
      </x:c>
      <x:c r="F456" s="6" t="n">
        <x:v>5.65</x:v>
      </x:c>
      <x:c r="G456" s="1" t="str">
        <x:v>None</x:v>
      </x:c>
      <x:c r="H456" s="5" t="n">
        <x:v>46061</x:v>
      </x:c>
      <x:c r="I456" s="5" t="n">
        <x:v>46091</x:v>
      </x:c>
      <x:c r="J456" s="10" t="n">
        <x:f>E456*F456</x:f>
        <x:v>983.1</x:v>
      </x:c>
    </x:row>
    <x:row r="457">
      <x:c r="A457" s="1" t="str">
        <x:v>INV471</x:v>
      </x:c>
      <x:c r="B457" s="1" t="str">
        <x:v>PO0471</x:v>
      </x:c>
      <x:c r="C457" s="5" t="n">
        <x:v>46137</x:v>
      </x:c>
      <x:c r="D457" s="5" t="n">
        <x:v>46182</x:v>
      </x:c>
      <x:c r="E457" s="1" t="n">
        <x:v>2256</x:v>
      </x:c>
      <x:c r="F457" s="6" t="n">
        <x:v>23.32</x:v>
      </x:c>
      <x:c r="G457" s="1" t="str">
        <x:v>Price mismatch</x:v>
      </x:c>
      <x:c r="H457" s="5" t="n">
        <x:v>46148</x:v>
      </x:c>
      <x:c r="I457" s="5" t="n">
        <x:v>46188</x:v>
      </x:c>
      <x:c r="J457" s="10" t="n">
        <x:f>E457*F457</x:f>
        <x:v>52609.92</x:v>
      </x:c>
    </x:row>
    <x:row r="458">
      <x:c r="A458" s="1" t="str">
        <x:v>INV472</x:v>
      </x:c>
      <x:c r="B458" s="1" t="str">
        <x:v>PO0472</x:v>
      </x:c>
      <x:c r="C458" s="5" t="n">
        <x:v>46094</x:v>
      </x:c>
      <x:c r="D458" s="5" t="n">
        <x:v>46124</x:v>
      </x:c>
      <x:c r="E458" s="1" t="n">
        <x:v>998</x:v>
      </x:c>
      <x:c r="F458" s="6" t="n">
        <x:v>1.63</x:v>
      </x:c>
      <x:c r="G458" s="1" t="str">
        <x:v>None</x:v>
      </x:c>
      <x:c r="H458" s="5" t="n">
        <x:v>46094</x:v>
      </x:c>
      <x:c r="I458" s="5" t="n">
        <x:v>46126</x:v>
      </x:c>
      <x:c r="J458" s="10" t="n">
        <x:f>E458*F458</x:f>
        <x:v>1626.7399999999998</x:v>
      </x:c>
    </x:row>
    <x:row r="459">
      <x:c r="A459" s="1" t="str">
        <x:v>INV473</x:v>
      </x:c>
      <x:c r="B459" s="1" t="str">
        <x:v>PO0473</x:v>
      </x:c>
      <x:c r="C459" s="5" t="n">
        <x:v>46244</x:v>
      </x:c>
      <x:c r="D459" s="5" t="n">
        <x:v>46289</x:v>
      </x:c>
      <x:c r="E459" s="1" t="n">
        <x:v>1443</x:v>
      </x:c>
      <x:c r="F459" s="6" t="n">
        <x:v>12.38</x:v>
      </x:c>
      <x:c r="G459" s="1" t="str">
        <x:v>None</x:v>
      </x:c>
      <x:c r="H459" s="5" t="n">
        <x:v>46244</x:v>
      </x:c>
      <x:c r="I459" s="5" t="n">
        <x:v>46290</x:v>
      </x:c>
      <x:c r="J459" s="10" t="n">
        <x:f>E459*F459</x:f>
        <x:v>17864.34</x:v>
      </x:c>
    </x:row>
    <x:row r="460">
      <x:c r="A460" s="1" t="str">
        <x:v>INV474</x:v>
      </x:c>
      <x:c r="B460" s="1" t="str">
        <x:v>PO0474</x:v>
      </x:c>
      <x:c r="C460" s="5" t="n">
        <x:v>46285</x:v>
      </x:c>
      <x:c r="D460" s="5" t="n">
        <x:v>46315</x:v>
      </x:c>
      <x:c r="E460" s="1" t="n">
        <x:v>2359</x:v>
      </x:c>
      <x:c r="F460" s="6" t="n">
        <x:v>20.78</x:v>
      </x:c>
      <x:c r="G460" s="1" t="str">
        <x:v>None</x:v>
      </x:c>
      <x:c r="H460" s="5" t="n">
        <x:v>46285</x:v>
      </x:c>
      <x:c r="I460" s="5"/>
      <x:c r="J460" s="10" t="n">
        <x:f>E460*F460</x:f>
        <x:v>49020.020000000004</x:v>
      </x:c>
    </x:row>
    <x:row r="461">
      <x:c r="A461" s="1" t="str">
        <x:v>INV475</x:v>
      </x:c>
      <x:c r="B461" s="1" t="str">
        <x:v>PO0475</x:v>
      </x:c>
      <x:c r="C461" s="5" t="n">
        <x:v>46154</x:v>
      </x:c>
      <x:c r="D461" s="5" t="n">
        <x:v>46199</x:v>
      </x:c>
      <x:c r="E461" s="1" t="n">
        <x:v>944</x:v>
      </x:c>
      <x:c r="F461" s="6" t="n">
        <x:v>3.93</x:v>
      </x:c>
      <x:c r="G461" s="1" t="str">
        <x:v>None</x:v>
      </x:c>
      <x:c r="H461" s="5" t="n">
        <x:v>46154</x:v>
      </x:c>
      <x:c r="I461" s="5" t="n">
        <x:v>46201</x:v>
      </x:c>
      <x:c r="J461" s="10" t="n">
        <x:f>E461*F461</x:f>
        <x:v>3709.92</x:v>
      </x:c>
    </x:row>
    <x:row r="462">
      <x:c r="A462" s="1" t="str">
        <x:v>INV476</x:v>
      </x:c>
      <x:c r="B462" s="1" t="str">
        <x:v>PO0476</x:v>
      </x:c>
      <x:c r="C462" s="5" t="n">
        <x:v>46202</x:v>
      </x:c>
      <x:c r="D462" s="5" t="n">
        <x:v>46247</x:v>
      </x:c>
      <x:c r="E462" s="1" t="n">
        <x:v>3405</x:v>
      </x:c>
      <x:c r="F462" s="6" t="n">
        <x:v>2.01</x:v>
      </x:c>
      <x:c r="G462" s="1" t="str">
        <x:v>None</x:v>
      </x:c>
      <x:c r="H462" s="5" t="n">
        <x:v>46202</x:v>
      </x:c>
      <x:c r="I462" s="5" t="n">
        <x:v>46244</x:v>
      </x:c>
      <x:c r="J462" s="10" t="n">
        <x:f>E462*F462</x:f>
        <x:v>6844.049999999999</x:v>
      </x:c>
    </x:row>
    <x:row r="463">
      <x:c r="A463" s="1" t="str">
        <x:v>INV477</x:v>
      </x:c>
      <x:c r="B463" s="1" t="str">
        <x:v>PO0477</x:v>
      </x:c>
      <x:c r="C463" s="5" t="n">
        <x:v>46238</x:v>
      </x:c>
      <x:c r="D463" s="5" t="n">
        <x:v>46298</x:v>
      </x:c>
      <x:c r="E463" s="1" t="n">
        <x:v>1847</x:v>
      </x:c>
      <x:c r="F463" s="6" t="n">
        <x:v>24.92</x:v>
      </x:c>
      <x:c r="G463" s="1" t="str">
        <x:v>None</x:v>
      </x:c>
      <x:c r="H463" s="5" t="n">
        <x:v>46238</x:v>
      </x:c>
      <x:c r="I463" s="5"/>
      <x:c r="J463" s="10" t="n">
        <x:f>E463*F463</x:f>
        <x:v>46027.240000000005</x:v>
      </x:c>
    </x:row>
    <x:row r="464">
      <x:c r="A464" s="1" t="str">
        <x:v>INV478</x:v>
      </x:c>
      <x:c r="B464" s="1" t="str">
        <x:v>PO0478</x:v>
      </x:c>
      <x:c r="C464" s="5" t="n">
        <x:v>46154</x:v>
      </x:c>
      <x:c r="D464" s="5" t="n">
        <x:v>46184</x:v>
      </x:c>
      <x:c r="E464" s="1" t="n">
        <x:v>4034</x:v>
      </x:c>
      <x:c r="F464" s="6" t="n">
        <x:v>26.22</x:v>
      </x:c>
      <x:c r="G464" s="1" t="str">
        <x:v>Price mismatch</x:v>
      </x:c>
      <x:c r="H464" s="5" t="n">
        <x:v>46178</x:v>
      </x:c>
      <x:c r="I464" s="5" t="n">
        <x:v>46192</x:v>
      </x:c>
      <x:c r="J464" s="10" t="n">
        <x:f>E464*F464</x:f>
        <x:v>105771.48</x:v>
      </x:c>
    </x:row>
    <x:row r="465">
      <x:c r="A465" s="1" t="str">
        <x:v>INV479</x:v>
      </x:c>
      <x:c r="B465" s="1" t="str">
        <x:v>PO0479</x:v>
      </x:c>
      <x:c r="C465" s="5" t="n">
        <x:v>46082</x:v>
      </x:c>
      <x:c r="D465" s="5" t="n">
        <x:v>46127</x:v>
      </x:c>
      <x:c r="E465" s="1" t="n">
        <x:v>4300</x:v>
      </x:c>
      <x:c r="F465" s="6" t="n">
        <x:v>24.95</x:v>
      </x:c>
      <x:c r="G465" s="1" t="str">
        <x:v>None</x:v>
      </x:c>
      <x:c r="H465" s="5" t="n">
        <x:v>46082</x:v>
      </x:c>
      <x:c r="I465" s="5" t="n">
        <x:v>46130</x:v>
      </x:c>
      <x:c r="J465" s="10" t="n">
        <x:f>E465*F465</x:f>
        <x:v>107285</x:v>
      </x:c>
    </x:row>
    <x:row r="466">
      <x:c r="A466" s="1" t="str">
        <x:v>INV481</x:v>
      </x:c>
      <x:c r="B466" s="1" t="str">
        <x:v>PO0481</x:v>
      </x:c>
      <x:c r="C466" s="5" t="n">
        <x:v>46234</x:v>
      </x:c>
      <x:c r="D466" s="5" t="n">
        <x:v>46264</x:v>
      </x:c>
      <x:c r="E466" s="1" t="n">
        <x:v>3904</x:v>
      </x:c>
      <x:c r="F466" s="6" t="n">
        <x:v>5.16</x:v>
      </x:c>
      <x:c r="G466" s="1" t="str">
        <x:v>None</x:v>
      </x:c>
      <x:c r="H466" s="5" t="n">
        <x:v>46234</x:v>
      </x:c>
      <x:c r="I466" s="5" t="n">
        <x:v>46261</x:v>
      </x:c>
      <x:c r="J466" s="10" t="n">
        <x:f>E466*F466</x:f>
        <x:v>20144.64</x:v>
      </x:c>
    </x:row>
    <x:row r="467">
      <x:c r="A467" s="1" t="str">
        <x:v>INV482</x:v>
      </x:c>
      <x:c r="B467" s="1" t="str">
        <x:v>PO0482</x:v>
      </x:c>
      <x:c r="C467" s="5" t="n">
        <x:v>46240</x:v>
      </x:c>
      <x:c r="D467" s="5" t="n">
        <x:v>46300</x:v>
      </x:c>
      <x:c r="E467" s="1" t="n">
        <x:v>102</x:v>
      </x:c>
      <x:c r="F467" s="6" t="n">
        <x:v>3.52</x:v>
      </x:c>
      <x:c r="G467" s="1" t="str">
        <x:v>None</x:v>
      </x:c>
      <x:c r="H467" s="5" t="n">
        <x:v>46240</x:v>
      </x:c>
      <x:c r="I467" s="5"/>
      <x:c r="J467" s="10" t="n">
        <x:f>E467*F467</x:f>
        <x:v>359.04</x:v>
      </x:c>
    </x:row>
    <x:row r="468">
      <x:c r="A468" s="1" t="str">
        <x:v>INV483</x:v>
      </x:c>
      <x:c r="B468" s="1" t="str">
        <x:v>PO0483</x:v>
      </x:c>
      <x:c r="C468" s="5" t="n">
        <x:v>46088</x:v>
      </x:c>
      <x:c r="D468" s="5" t="n">
        <x:v>46148</x:v>
      </x:c>
      <x:c r="E468" s="1" t="n">
        <x:v>1889</x:v>
      </x:c>
      <x:c r="F468" s="6" t="n">
        <x:v>23.55</x:v>
      </x:c>
      <x:c r="G468" s="1" t="str">
        <x:v>None</x:v>
      </x:c>
      <x:c r="H468" s="5" t="n">
        <x:v>46088</x:v>
      </x:c>
      <x:c r="I468" s="5" t="n">
        <x:v>46148</x:v>
      </x:c>
      <x:c r="J468" s="10" t="n">
        <x:f>E468*F468</x:f>
        <x:v>44485.950000000004</x:v>
      </x:c>
    </x:row>
    <x:row r="469">
      <x:c r="A469" s="1" t="str">
        <x:v>INV484</x:v>
      </x:c>
      <x:c r="B469" s="1" t="str">
        <x:v>PO0484</x:v>
      </x:c>
      <x:c r="C469" s="5" t="n">
        <x:v>46232</x:v>
      </x:c>
      <x:c r="D469" s="5" t="n">
        <x:v>46292</x:v>
      </x:c>
      <x:c r="E469" s="1" t="n">
        <x:v>3639</x:v>
      </x:c>
      <x:c r="F469" s="6" t="n">
        <x:v>6.43</x:v>
      </x:c>
      <x:c r="G469" s="1" t="str">
        <x:v>None</x:v>
      </x:c>
      <x:c r="H469" s="5" t="n">
        <x:v>46232</x:v>
      </x:c>
      <x:c r="I469" s="5"/>
      <x:c r="J469" s="10" t="n">
        <x:f>E469*F469</x:f>
        <x:v>23398.77</x:v>
      </x:c>
    </x:row>
    <x:row r="470">
      <x:c r="A470" s="1" t="str">
        <x:v>INV485</x:v>
      </x:c>
      <x:c r="B470" s="1" t="str">
        <x:v>PO0485</x:v>
      </x:c>
      <x:c r="C470" s="5" t="n">
        <x:v>46161</x:v>
      </x:c>
      <x:c r="D470" s="5" t="n">
        <x:v>46191</x:v>
      </x:c>
      <x:c r="E470" s="1" t="n">
        <x:v>2278</x:v>
      </x:c>
      <x:c r="F470" s="6" t="n">
        <x:v>22.82</x:v>
      </x:c>
      <x:c r="G470" s="1" t="str">
        <x:v>None</x:v>
      </x:c>
      <x:c r="H470" s="5" t="n">
        <x:v>46161</x:v>
      </x:c>
      <x:c r="I470" s="5" t="n">
        <x:v>46195</x:v>
      </x:c>
      <x:c r="J470" s="10" t="n">
        <x:f>E470*F470</x:f>
        <x:v>51983.96</x:v>
      </x:c>
    </x:row>
    <x:row r="471">
      <x:c r="A471" s="1" t="str">
        <x:v>INV486</x:v>
      </x:c>
      <x:c r="B471" s="1" t="str">
        <x:v>PO0486</x:v>
      </x:c>
      <x:c r="C471" s="5" t="n">
        <x:v>46246</x:v>
      </x:c>
      <x:c r="D471" s="5" t="n">
        <x:v>46276</x:v>
      </x:c>
      <x:c r="E471" s="1" t="n">
        <x:v>4166</x:v>
      </x:c>
      <x:c r="F471" s="6" t="n">
        <x:v>15.88</x:v>
      </x:c>
      <x:c r="G471" s="1" t="str">
        <x:v>None</x:v>
      </x:c>
      <x:c r="H471" s="5" t="n">
        <x:v>46246</x:v>
      </x:c>
      <x:c r="I471" s="5" t="n">
        <x:v>46283</x:v>
      </x:c>
      <x:c r="J471" s="10" t="n">
        <x:f>E471*F471</x:f>
        <x:v>66156.08</x:v>
      </x:c>
    </x:row>
    <x:row r="472">
      <x:c r="A472" s="1" t="str">
        <x:v>INV487</x:v>
      </x:c>
      <x:c r="B472" s="1" t="str">
        <x:v>PO0487</x:v>
      </x:c>
      <x:c r="C472" s="5" t="n">
        <x:v>46294</x:v>
      </x:c>
      <x:c r="D472" s="5" t="n">
        <x:v>46354</x:v>
      </x:c>
      <x:c r="E472" s="1" t="n">
        <x:v>2766</x:v>
      </x:c>
      <x:c r="F472" s="6" t="n">
        <x:v>7.02</x:v>
      </x:c>
      <x:c r="G472" s="1" t="str">
        <x:v>None</x:v>
      </x:c>
      <x:c r="H472" s="5" t="n">
        <x:v>46294</x:v>
      </x:c>
      <x:c r="I472" s="5"/>
      <x:c r="J472" s="10" t="n">
        <x:f>E472*F472</x:f>
        <x:v>19417.32</x:v>
      </x:c>
    </x:row>
    <x:row r="473">
      <x:c r="A473" s="1" t="str">
        <x:v>INV488</x:v>
      </x:c>
      <x:c r="B473" s="1" t="str">
        <x:v>PO0488</x:v>
      </x:c>
      <x:c r="C473" s="5" t="n">
        <x:v>46274</x:v>
      </x:c>
      <x:c r="D473" s="5" t="n">
        <x:v>46304</x:v>
      </x:c>
      <x:c r="E473" s="1" t="n">
        <x:v>4315</x:v>
      </x:c>
      <x:c r="F473" s="6" t="n">
        <x:v>16.58</x:v>
      </x:c>
      <x:c r="G473" s="1" t="str">
        <x:v>None</x:v>
      </x:c>
      <x:c r="H473" s="5" t="n">
        <x:v>46274</x:v>
      </x:c>
      <x:c r="I473" s="5"/>
      <x:c r="J473" s="10" t="n">
        <x:f>E473*F473</x:f>
        <x:v>71542.7</x:v>
      </x:c>
    </x:row>
    <x:row r="474">
      <x:c r="A474" s="1" t="str">
        <x:v>INV489</x:v>
      </x:c>
      <x:c r="B474" s="1" t="str">
        <x:v>PO0489</x:v>
      </x:c>
      <x:c r="C474" s="5" t="n">
        <x:v>46081</x:v>
      </x:c>
      <x:c r="D474" s="5" t="n">
        <x:v>46126</x:v>
      </x:c>
      <x:c r="E474" s="1" t="n">
        <x:v>797</x:v>
      </x:c>
      <x:c r="F474" s="6" t="n">
        <x:v>14.34</x:v>
      </x:c>
      <x:c r="G474" s="1" t="str">
        <x:v>Missing documentation</x:v>
      </x:c>
      <x:c r="H474" s="5" t="n">
        <x:v>46090</x:v>
      </x:c>
      <x:c r="I474" s="5" t="n">
        <x:v>46124</x:v>
      </x:c>
      <x:c r="J474" s="10" t="n">
        <x:f>E474*F474</x:f>
        <x:v>11428.98</x:v>
      </x:c>
    </x:row>
    <x:row r="475">
      <x:c r="A475" s="1" t="str">
        <x:v>INV490</x:v>
      </x:c>
      <x:c r="B475" s="1" t="str">
        <x:v>PO0490</x:v>
      </x:c>
      <x:c r="C475" s="5" t="n">
        <x:v>46131</x:v>
      </x:c>
      <x:c r="D475" s="5" t="n">
        <x:v>46176</x:v>
      </x:c>
      <x:c r="E475" s="1" t="n">
        <x:v>3953</x:v>
      </x:c>
      <x:c r="F475" s="6" t="n">
        <x:v>4.46</x:v>
      </x:c>
      <x:c r="G475" s="1" t="str">
        <x:v>None</x:v>
      </x:c>
      <x:c r="H475" s="5" t="n">
        <x:v>46131</x:v>
      </x:c>
      <x:c r="I475" s="5" t="n">
        <x:v>46182</x:v>
      </x:c>
      <x:c r="J475" s="10" t="n">
        <x:f>E475*F475</x:f>
        <x:v>17630.38</x:v>
      </x:c>
    </x:row>
    <x:row r="476">
      <x:c r="A476" s="1" t="str">
        <x:v>INV491</x:v>
      </x:c>
      <x:c r="B476" s="1" t="str">
        <x:v>PO0491</x:v>
      </x:c>
      <x:c r="C476" s="5" t="n">
        <x:v>46156</x:v>
      </x:c>
      <x:c r="D476" s="5" t="n">
        <x:v>46186</x:v>
      </x:c>
      <x:c r="E476" s="1" t="n">
        <x:v>297</x:v>
      </x:c>
      <x:c r="F476" s="6" t="n">
        <x:v>14.64</x:v>
      </x:c>
      <x:c r="G476" s="1" t="str">
        <x:v>None</x:v>
      </x:c>
      <x:c r="H476" s="5" t="n">
        <x:v>46156</x:v>
      </x:c>
      <x:c r="I476" s="5" t="n">
        <x:v>46187</x:v>
      </x:c>
      <x:c r="J476" s="10" t="n">
        <x:f>E476*F476</x:f>
        <x:v>4348.08</x:v>
      </x:c>
    </x:row>
    <x:row r="477">
      <x:c r="A477" s="1" t="str">
        <x:v>INV492</x:v>
      </x:c>
      <x:c r="B477" s="1" t="str">
        <x:v>PO0492</x:v>
      </x:c>
      <x:c r="C477" s="5" t="n">
        <x:v>46154</x:v>
      </x:c>
      <x:c r="D477" s="5" t="n">
        <x:v>46199</x:v>
      </x:c>
      <x:c r="E477" s="1" t="n">
        <x:v>2872</x:v>
      </x:c>
      <x:c r="F477" s="6" t="n">
        <x:v>16.29</x:v>
      </x:c>
      <x:c r="G477" s="1" t="str">
        <x:v>None</x:v>
      </x:c>
      <x:c r="H477" s="5" t="n">
        <x:v>46154</x:v>
      </x:c>
      <x:c r="I477" s="5" t="n">
        <x:v>46198</x:v>
      </x:c>
      <x:c r="J477" s="10" t="n">
        <x:f>E477*F477</x:f>
        <x:v>46784.88</x:v>
      </x:c>
    </x:row>
    <x:row r="478">
      <x:c r="A478" s="1" t="str">
        <x:v>INV493</x:v>
      </x:c>
      <x:c r="B478" s="1" t="str">
        <x:v>PO0493</x:v>
      </x:c>
      <x:c r="C478" s="5" t="n">
        <x:v>46206</x:v>
      </x:c>
      <x:c r="D478" s="5" t="n">
        <x:v>46266</x:v>
      </x:c>
      <x:c r="E478" s="1" t="n">
        <x:v>1794</x:v>
      </x:c>
      <x:c r="F478" s="6" t="n">
        <x:v>3.12</x:v>
      </x:c>
      <x:c r="G478" s="1" t="str">
        <x:v>None</x:v>
      </x:c>
      <x:c r="H478" s="5" t="n">
        <x:v>46206</x:v>
      </x:c>
      <x:c r="I478" s="5" t="n">
        <x:v>46264</x:v>
      </x:c>
      <x:c r="J478" s="10" t="n">
        <x:f>E478*F478</x:f>
        <x:v>5597.28</x:v>
      </x:c>
    </x:row>
    <x:row r="479">
      <x:c r="A479" s="1" t="str">
        <x:v>INV494</x:v>
      </x:c>
      <x:c r="B479" s="1" t="str">
        <x:v>PO0494</x:v>
      </x:c>
      <x:c r="C479" s="5" t="n">
        <x:v>46133</x:v>
      </x:c>
      <x:c r="D479" s="5" t="n">
        <x:v>46178</x:v>
      </x:c>
      <x:c r="E479" s="1" t="n">
        <x:v>987</x:v>
      </x:c>
      <x:c r="F479" s="6" t="n">
        <x:v>1.15</x:v>
      </x:c>
      <x:c r="G479" s="1" t="str">
        <x:v>None</x:v>
      </x:c>
      <x:c r="H479" s="5" t="n">
        <x:v>46133</x:v>
      </x:c>
      <x:c r="I479" s="5" t="n">
        <x:v>46181</x:v>
      </x:c>
      <x:c r="J479" s="10" t="n">
        <x:f>E479*F479</x:f>
        <x:v>1135.05</x:v>
      </x:c>
    </x:row>
    <x:row r="480">
      <x:c r="A480" s="1" t="str">
        <x:v>INV495</x:v>
      </x:c>
      <x:c r="B480" s="1" t="str">
        <x:v>PO0495</x:v>
      </x:c>
      <x:c r="C480" s="5" t="n">
        <x:v>46263</x:v>
      </x:c>
      <x:c r="D480" s="5" t="n">
        <x:v>46323</x:v>
      </x:c>
      <x:c r="E480" s="1" t="n">
        <x:v>139</x:v>
      </x:c>
      <x:c r="F480" s="6" t="n">
        <x:v>15.19</x:v>
      </x:c>
      <x:c r="G480" s="1" t="str">
        <x:v>None</x:v>
      </x:c>
      <x:c r="H480" s="5" t="n">
        <x:v>46263</x:v>
      </x:c>
      <x:c r="I480" s="5"/>
      <x:c r="J480" s="10" t="n">
        <x:f>E480*F480</x:f>
        <x:v>2111.41</x:v>
      </x:c>
    </x:row>
    <x:row r="481">
      <x:c r="A481" s="1" t="str">
        <x:v>INV497</x:v>
      </x:c>
      <x:c r="B481" s="1" t="str">
        <x:v>PO0497</x:v>
      </x:c>
      <x:c r="C481" s="5" t="n">
        <x:v>46105</x:v>
      </x:c>
      <x:c r="D481" s="5" t="n">
        <x:v>46135</x:v>
      </x:c>
      <x:c r="E481" s="1" t="n">
        <x:v>1838</x:v>
      </x:c>
      <x:c r="F481" s="6" t="n">
        <x:v>15.34</x:v>
      </x:c>
      <x:c r="G481" s="1" t="str">
        <x:v>None</x:v>
      </x:c>
      <x:c r="H481" s="5" t="n">
        <x:v>46105</x:v>
      </x:c>
      <x:c r="I481" s="5" t="n">
        <x:v>46137</x:v>
      </x:c>
      <x:c r="J481" s="10" t="n">
        <x:f>E481*F481</x:f>
        <x:v>28194.92</x:v>
      </x:c>
    </x:row>
    <x:row r="482">
      <x:c r="A482" s="1" t="str">
        <x:v>INV498</x:v>
      </x:c>
      <x:c r="B482" s="1" t="str">
        <x:v>PO0498</x:v>
      </x:c>
      <x:c r="C482" s="5" t="n">
        <x:v>46272</x:v>
      </x:c>
      <x:c r="D482" s="5" t="n">
        <x:v>46302</x:v>
      </x:c>
      <x:c r="E482" s="1" t="n">
        <x:v>4377</x:v>
      </x:c>
      <x:c r="F482" s="6" t="n">
        <x:v>4.83</x:v>
      </x:c>
      <x:c r="G482" s="1" t="str">
        <x:v>None</x:v>
      </x:c>
      <x:c r="H482" s="5" t="n">
        <x:v>46272</x:v>
      </x:c>
      <x:c r="I482" s="5"/>
      <x:c r="J482" s="10" t="n">
        <x:f>E482*F482</x:f>
        <x:v>21140.91</x:v>
      </x:c>
    </x:row>
    <x:row r="483">
      <x:c r="A483" s="1" t="str">
        <x:v>INV499</x:v>
      </x:c>
      <x:c r="B483" s="1" t="str">
        <x:v>PO0499</x:v>
      </x:c>
      <x:c r="C483" s="5" t="n">
        <x:v>46158</x:v>
      </x:c>
      <x:c r="D483" s="5" t="n">
        <x:v>46218</x:v>
      </x:c>
      <x:c r="E483" s="1" t="n">
        <x:v>3979</x:v>
      </x:c>
      <x:c r="F483" s="6" t="n">
        <x:v>7.51</x:v>
      </x:c>
      <x:c r="G483" s="1" t="str">
        <x:v>Missing documentation</x:v>
      </x:c>
      <x:c r="H483" s="5" t="n">
        <x:v>46180</x:v>
      </x:c>
      <x:c r="I483" s="5" t="n">
        <x:v>46226</x:v>
      </x:c>
      <x:c r="J483" s="10" t="n">
        <x:f>E483*F483</x:f>
        <x:v>29882.29</x:v>
      </x:c>
    </x:row>
    <x:row r="484">
      <x:c r="A484" s="1" t="str">
        <x:v>INV500</x:v>
      </x:c>
      <x:c r="B484" s="1" t="str">
        <x:v>PO0500</x:v>
      </x:c>
      <x:c r="C484" s="5" t="n">
        <x:v>46076</x:v>
      </x:c>
      <x:c r="D484" s="5" t="n">
        <x:v>46136</x:v>
      </x:c>
      <x:c r="E484" s="1" t="n">
        <x:v>3508</x:v>
      </x:c>
      <x:c r="F484" s="6" t="n">
        <x:v>20.65</x:v>
      </x:c>
      <x:c r="G484" s="1" t="str">
        <x:v>None</x:v>
      </x:c>
      <x:c r="H484" s="5" t="n">
        <x:v>46076</x:v>
      </x:c>
      <x:c r="I484" s="5" t="n">
        <x:v>46143</x:v>
      </x:c>
      <x:c r="J484" s="10" t="n">
        <x:f>E484*F484</x:f>
        <x:v>72440.2</x:v>
      </x:c>
    </x:row>
  </x:sheetData>
  <x:pageMargins left="0.7" right="0.7" top="0.75" bottom="0.75" header="0.3" footer="0.3"/>
  <x:tableParts count="1">
    <x:tablePart xmlns:r="http://schemas.openxmlformats.org/officeDocument/2006/relationships" r:id="R3f95127e233346d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6" hidden="0" customWidth="1"/>
  </x:cols>
  <x:sheetData>
    <x:row r="1" ht="32" customHeight="1">
      <x:c r="A1" s="4" t="str">
        <x:v>Topic</x:v>
      </x:c>
      <x:c r="B1" s="4" t="str">
        <x:v>Definition</x:v>
      </x:c>
    </x:row>
    <x:row r="2" ht="32" customHeight="1">
      <x:c r="A2" s="16" t="str">
        <x:v>Purpose</x:v>
      </x:c>
      <x:c r="B2" s="16" t="str">
        <x:v>Fictional food manufacturer. Prioritize invoice exceptions and supply delays.</x:v>
      </x:c>
    </x:row>
    <x:row r="3" ht="32" customHeight="1">
      <x:c r="A3" s="16" t="str">
        <x:v>Provenance</x:v>
      </x:c>
      <x:c r="B3" s="16" t="str">
        <x:v>Generated with a fixed random seed of 20261005. All companies and transactions are fictional.</x:v>
      </x:c>
    </x:row>
    <x:row r="4" ht="32" customHeight="1">
      <x:c r="A4" s="16" t="str">
        <x:v>Grain</x:v>
      </x:c>
      <x:c r="B4" s="16" t="str">
        <x:v>One material/service per PO; at most one receipt and invoice per PO in this simplified MVP.</x:v>
      </x:c>
    </x:row>
    <x:row r="5" ht="32" customHeight="1">
      <x:c r="A5" s="16" t="str">
        <x:v>Supplier relationship</x:v>
      </x:c>
      <x:c r="B5" s="16" t="str">
        <x:v>Suppliers[Supplier_ID] 1 to many PurchaseOrders[Supplier_ID]. Single direction.</x:v>
      </x:c>
    </x:row>
    <x:row r="6" ht="32" customHeight="1">
      <x:c r="A6" s="16" t="str">
        <x:v>Receipt relationship</x:v>
      </x:c>
      <x:c r="B6" s="16" t="str">
        <x:v>PurchaseOrders[PO_ID] 1 to many Receipts[PO_ID]. Single direction.</x:v>
      </x:c>
    </x:row>
    <x:row r="7" ht="32" customHeight="1">
      <x:c r="A7" s="16" t="str">
        <x:v>Invoice relationship</x:v>
      </x:c>
      <x:c r="B7" s="16" t="str">
        <x:v>PurchaseOrders[PO_ID] 1 to many Invoices[PO_ID]. Single direction.</x:v>
      </x:c>
    </x:row>
    <x:row r="8" ht="32" customHeight="1">
      <x:c r="A8" s="16" t="str">
        <x:v>Date import</x:v>
      </x:c>
      <x:c r="B8" s="16" t="str">
        <x:v>Excel dates are numeric values formatted yyyy-mm-dd. Set date types in Power Query.</x:v>
      </x:c>
    </x:row>
    <x:row r="9" ht="32" customHeight="1">
      <x:c r="A9" s="16" t="str">
        <x:v>Missing dates</x:v>
      </x:c>
      <x:c r="B9" s="16" t="str">
        <x:v>Blank receipt, invoice or payment indicates no such event by 2026-09-30.</x:v>
      </x:c>
    </x:row>
    <x:row r="10" ht="32" customHeight="1">
      <x:c r="A10" s="16" t="str">
        <x:v>Ordered value</x:v>
      </x:c>
      <x:c r="B10" s="16" t="str">
        <x:v>OrderedQty x UnitPriceUSD. Commitments, not recognized expense.</x:v>
      </x:c>
    </x:row>
    <x:row r="11" ht="32" customHeight="1">
      <x:c r="A11" s="16" t="str">
        <x:v>Invoice value</x:v>
      </x:c>
      <x:c r="B11" s="16" t="str">
        <x:v>InvoiceQty x InvoiceUnitPriceUSD. May differ from ordered value for partial receipts or exceptions.</x:v>
      </x:c>
    </x:row>
    <x:row r="12" ht="32" customHeight="1">
      <x:c r="A12" s="16" t="str">
        <x:v>Cycle time</x:v>
      </x:c>
      <x:c r="B12" s="16" t="str">
        <x:v>PODate minus RequestDate, calendar days, including approval and issuance.</x:v>
      </x:c>
    </x:row>
    <x:row r="13" ht="32" customHeight="1">
      <x:c r="A13" s="16" t="str">
        <x:v>Exception rate</x:v>
      </x:c>
      <x:c r="B13" s="16" t="str">
        <x:v>Invoices with ExceptionType other than None / all issued invoices. Historical incidence.</x:v>
      </x:c>
    </x:row>
    <x:row r="14" ht="32" customHeight="1">
      <x:c r="A14" s="16" t="str">
        <x:v>Open exceptions</x:v>
      </x:c>
      <x:c r="B14" s="16" t="str">
        <x:v>ExceptionType other than None AND ClearanceDate blank. Count separately from historical incidence.</x:v>
      </x:c>
    </x:row>
    <x:row r="15" ht="32" customHeight="1">
      <x:c r="A15" s="16" t="str">
        <x:v>Delivery KPI</x:v>
      </x:c>
      <x:c r="B15" s="16" t="str">
        <x:v>For POs promised by snapshot: timely AND complete receipt / all POs due. Unreceived due POs fail.</x:v>
      </x:c>
    </x:row>
    <x:row r="16" ht="32" customHeight="1">
      <x:c r="A16" s="16" t="str">
        <x:v>Unpaid vs overdue</x:v>
      </x:c>
      <x:c r="B16" s="16" t="str">
        <x:v>Unpaid = no PaymentDate. Overdue additionally requires DueDate before snapshot.</x:v>
      </x:c>
    </x:row>
    <x:row r="17" ht="32" customHeight="1">
      <x:c r="A17" s="16" t="str">
        <x:v>Automation idea</x:v>
      </x:c>
      <x:c r="B17" s="16" t="str">
        <x:v>Route price exceptions to buyer, quantity exceptions to receiving, documentation to AP.</x:v>
      </x:c>
    </x:row>
    <x:row r="18" ht="32" customHeight="1">
      <x:c r="A18" s="16" t="str">
        <x:v>Next phase</x:v>
      </x:c>
      <x:c r="B18" s="16" t="str">
        <x:v>Measure open exception age and value. Draft routing and escalation proposal.</x:v>
      </x:c>
    </x:row>
    <x:row r="19" ht="32" customHeight="1">
      <x:c r="A19" s="16" t="str">
        <x:v>Limits</x:v>
      </x:c>
      <x:c r="B19" s="16" t="str">
        <x:v>No duplicate invoices, multiple lines, cancellations, taxes, currency conversion or actual sustainability metrics.</x:v>
      </x:c>
    </x:row>
    <x:row r="20" ht="32" customHeight="1">
      <x:c r="A20" s="16" t="str">
        <x:v>Benefit estimates</x:v>
      </x:c>
      <x:c r="B20" s="16" t="str">
        <x:v>Do not claim realized savings. Later use editable volume, minutes per case, adoption and hourly cost.</x:v>
      </x:c>
    </x:row>
    <x:row r="21" ht="32" customHeight="1">
      <x:c r="A21" s="16" t="str">
        <x:v>Quality checks</x:v>
      </x:c>
      <x:c r="B21" s="16" t="str">
        <x:v>Unique primary keys; valid supplier/PO links; received &lt;= ordered; event chronology; no events after snapshot.</x:v>
      </x:c>
    </x:row>
  </x:sheetData>
  <x:pageMargins left="0.7" right="0.7" top="0.75" bottom="0.75" header="0.3" footer="0.3"/>
  <x:tableParts count="1">
    <x:tablePart xmlns:r="http://schemas.openxmlformats.org/officeDocument/2006/relationships" r:id="R9302f5d6170f445a"/>
  </x:tableParts>
</x:worksheet>
</file>